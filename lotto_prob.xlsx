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원본" sheetId="1" state="visible" r:id="rId1"/>
    <sheet name="확률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\회"/>
  </numFmts>
  <fonts count="12">
    <font>
      <name val="맑은 고딕"/>
      <charset val="129"/>
      <family val="2"/>
      <color rgb="FF000000"/>
      <sz val="11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맑은 고딕"/>
      <charset val="129"/>
      <family val="2"/>
      <color rgb="FFFFFFFF"/>
      <sz val="11"/>
    </font>
    <font>
      <name val="맑은 고딕"/>
      <charset val="129"/>
      <family val="2"/>
      <color rgb="FFCC0000"/>
      <sz val="11"/>
    </font>
    <font>
      <name val="맑은 고딕"/>
      <charset val="129"/>
      <family val="2"/>
      <color rgb="FF808080"/>
      <sz val="11"/>
    </font>
    <font>
      <name val="맑은 고딕"/>
      <charset val="129"/>
      <family val="2"/>
      <color rgb="FF006600"/>
      <sz val="11"/>
    </font>
    <font>
      <name val="맑은 고딕"/>
      <charset val="129"/>
      <family val="2"/>
      <color rgb="FF0000EE"/>
      <sz val="11"/>
      <u val="single"/>
    </font>
    <font>
      <name val="맑은 고딕"/>
      <charset val="129"/>
      <family val="2"/>
      <color rgb="FF996600"/>
      <sz val="11"/>
    </font>
    <font>
      <name val="맑은 고딕"/>
      <charset val="129"/>
      <family val="2"/>
      <color rgb="FF333333"/>
      <sz val="11"/>
    </font>
    <font>
      <name val="돋움"/>
      <family val="2"/>
      <color rgb="FF000000"/>
      <sz val="10"/>
    </font>
  </fonts>
  <fills count="17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878787"/>
      </patternFill>
    </fill>
    <fill>
      <patternFill patternType="solid">
        <fgColor rgb="FFDDDDDD"/>
        <bgColor rgb="FFC6D9F1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9C0006"/>
      </patternFill>
    </fill>
    <fill>
      <patternFill patternType="solid">
        <fgColor rgb="FFCCFFCC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6D"/>
        <bgColor rgb="FFFFFF38"/>
      </patternFill>
    </fill>
    <fill>
      <patternFill patternType="solid">
        <fgColor rgb="FF729FCF"/>
        <bgColor rgb="FF999999"/>
      </patternFill>
    </fill>
    <fill>
      <patternFill patternType="solid">
        <fgColor rgb="FFD4EA6B"/>
        <bgColor rgb="FFFFFF6D"/>
      </patternFill>
    </fill>
    <fill>
      <patternFill patternType="solid">
        <fgColor rgb="FFFFA6A6"/>
        <bgColor rgb="FFFFC7CE"/>
      </patternFill>
    </fill>
    <fill>
      <patternFill patternType="solid">
        <fgColor rgb="FFFFFF38"/>
        <bgColor rgb="FFFFFF6D"/>
      </patternFill>
    </fill>
    <fill>
      <patternFill patternType="solid">
        <fgColor rgb="FFB4C7DC"/>
        <bgColor rgb="FFC6D9F1"/>
      </patternFill>
    </fill>
    <fill>
      <patternFill patternType="solid">
        <fgColor rgb="FFF7D1D5"/>
        <bgColor rgb="FFFFCCCC"/>
      </patternFill>
    </fill>
    <fill>
      <patternFill patternType="solid">
        <fgColor rgb="FF999999"/>
        <bgColor rgb="FF878787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Down="1">
      <left/>
      <right/>
      <top/>
      <bottom/>
      <diagonal style="thin"/>
    </border>
    <border>
      <left style="medium"/>
      <right style="medium"/>
      <top style="medium"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</borders>
  <cellStyleXfs count="32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0" fillId="0" borderId="0" applyAlignment="1">
      <alignment horizontal="general" vertical="center"/>
    </xf>
    <xf numFmtId="0" fontId="4" fillId="3" borderId="0" applyAlignment="1">
      <alignment horizontal="general" vertical="center"/>
    </xf>
    <xf numFmtId="0" fontId="0" fillId="4" borderId="0" applyAlignment="1">
      <alignment horizontal="general" vertical="center"/>
    </xf>
    <xf numFmtId="0" fontId="5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7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8" fillId="0" borderId="0" applyAlignment="1">
      <alignment horizontal="general" vertical="center"/>
    </xf>
    <xf numFmtId="0" fontId="9" fillId="8" borderId="0" applyAlignment="1">
      <alignment horizontal="general" vertical="center"/>
    </xf>
    <xf numFmtId="0" fontId="10" fillId="8" borderId="1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5" fillId="0" borderId="0" applyAlignment="1">
      <alignment horizontal="general" vertical="center"/>
    </xf>
    <xf numFmtId="0" fontId="0" fillId="9" borderId="0" applyAlignment="1">
      <alignment horizontal="general" vertical="center"/>
    </xf>
    <xf numFmtId="0" fontId="0" fillId="10" borderId="0" applyAlignment="1">
      <alignment horizontal="general" vertical="center"/>
    </xf>
    <xf numFmtId="0" fontId="0" fillId="11" borderId="0" applyAlignment="1">
      <alignment horizontal="general" vertical="center"/>
    </xf>
    <xf numFmtId="0" fontId="0" fillId="12" borderId="0" applyAlignment="1">
      <alignment horizontal="general" vertical="center"/>
    </xf>
    <xf numFmtId="0" fontId="0" fillId="4" borderId="0" applyAlignment="1">
      <alignment horizontal="general" vertical="center"/>
    </xf>
    <xf numFmtId="0" fontId="0" fillId="13" borderId="0" applyAlignment="1">
      <alignment horizontal="general" vertical="center"/>
    </xf>
    <xf numFmtId="0" fontId="0" fillId="14" borderId="0" applyAlignment="1">
      <alignment horizontal="general" vertical="center"/>
    </xf>
    <xf numFmtId="0" fontId="0" fillId="15" borderId="0" applyAlignment="1">
      <alignment horizontal="general" vertical="center"/>
    </xf>
    <xf numFmtId="0" fontId="0" fillId="16" borderId="0" applyAlignment="1">
      <alignment horizontal="general" vertical="center"/>
    </xf>
  </cellStyleXfs>
  <cellXfs count="5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2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center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6" applyAlignment="1" pivotButton="0" quotePrefix="0" xfId="0">
      <alignment horizontal="general" vertical="center"/>
    </xf>
    <xf numFmtId="0" fontId="0" fillId="0" borderId="7" applyAlignment="1" pivotButton="0" quotePrefix="0" xfId="0">
      <alignment horizontal="general" vertical="center"/>
    </xf>
    <xf numFmtId="0" fontId="0" fillId="0" borderId="8" applyAlignment="1" pivotButton="0" quotePrefix="0" xfId="0">
      <alignment horizontal="general" vertical="center"/>
    </xf>
    <xf numFmtId="0" fontId="0" fillId="0" borderId="9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8" applyAlignment="1" pivotButton="0" quotePrefix="0" xfId="0">
      <alignment horizontal="general" vertical="center"/>
    </xf>
    <xf numFmtId="0" fontId="0" fillId="0" borderId="11" applyAlignment="1" pivotButton="0" quotePrefix="0" xfId="0">
      <alignment horizontal="general" vertical="center"/>
    </xf>
    <xf numFmtId="0" fontId="0" fillId="0" borderId="12" applyAlignment="1" pivotButton="0" quotePrefix="0" xfId="0">
      <alignment horizontal="general" vertical="center"/>
    </xf>
    <xf numFmtId="0" fontId="0" fillId="0" borderId="13" applyAlignment="1" pivotButton="0" quotePrefix="0" xfId="0">
      <alignment horizontal="general" vertical="center"/>
    </xf>
    <xf numFmtId="0" fontId="0" fillId="0" borderId="14" applyAlignment="1" pivotButton="0" quotePrefix="0" xfId="0">
      <alignment horizontal="general" vertical="center"/>
    </xf>
    <xf numFmtId="0" fontId="0" fillId="0" borderId="12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0" fillId="0" borderId="17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0" fillId="0" borderId="19" applyAlignment="1" pivotButton="0" quotePrefix="0" xfId="0">
      <alignment horizontal="general" vertical="center"/>
    </xf>
    <xf numFmtId="0" fontId="0" fillId="0" borderId="20" applyAlignment="1" pivotButton="0" quotePrefix="0" xfId="0">
      <alignment horizontal="general" vertical="center"/>
    </xf>
    <xf numFmtId="0" fontId="0" fillId="0" borderId="2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0" fillId="0" borderId="2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center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6" applyAlignment="1" pivotButton="0" quotePrefix="0" xfId="0">
      <alignment horizontal="general" vertical="center"/>
    </xf>
    <xf numFmtId="0" fontId="0" fillId="0" borderId="7" applyAlignment="1" pivotButton="0" quotePrefix="0" xfId="0">
      <alignment horizontal="general" vertical="center"/>
    </xf>
    <xf numFmtId="0" fontId="0" fillId="0" borderId="8" applyAlignment="1" pivotButton="0" quotePrefix="0" xfId="0">
      <alignment horizontal="general" vertical="center"/>
    </xf>
    <xf numFmtId="0" fontId="0" fillId="0" borderId="9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11" applyAlignment="1" pivotButton="0" quotePrefix="0" xfId="0">
      <alignment horizontal="general" vertical="center"/>
    </xf>
    <xf numFmtId="0" fontId="0" fillId="0" borderId="12" applyAlignment="1" pivotButton="0" quotePrefix="0" xfId="0">
      <alignment horizontal="general" vertical="center"/>
    </xf>
    <xf numFmtId="0" fontId="0" fillId="0" borderId="13" applyAlignment="1" pivotButton="0" quotePrefix="0" xfId="0">
      <alignment horizontal="general" vertical="center"/>
    </xf>
    <xf numFmtId="0" fontId="0" fillId="0" borderId="14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0" fillId="0" borderId="17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0" fillId="0" borderId="19" applyAlignment="1" pivotButton="0" quotePrefix="0" xfId="0">
      <alignment horizontal="general" vertical="center"/>
    </xf>
    <xf numFmtId="0" fontId="0" fillId="0" borderId="20" applyAlignment="1" pivotButton="0" quotePrefix="0" xfId="0">
      <alignment horizontal="general" vertical="center"/>
    </xf>
    <xf numFmtId="0" fontId="0" fillId="0" borderId="21" applyAlignment="1" pivotButton="0" quotePrefix="0" xfId="0">
      <alignment horizontal="general" vertical="center"/>
    </xf>
  </cellXfs>
  <cellStyles count="3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 17" xfId="6"/>
    <cellStyle name="Accent 16" xfId="7"/>
    <cellStyle name="Accent 2 18" xfId="8"/>
    <cellStyle name="Accent 3 19" xfId="9"/>
    <cellStyle name="Bad 13" xfId="10"/>
    <cellStyle name="Error 15" xfId="11"/>
    <cellStyle name="Footnote 8" xfId="12"/>
    <cellStyle name="Good 11" xfId="13"/>
    <cellStyle name="Heading 1 4" xfId="14"/>
    <cellStyle name="Heading 2 5" xfId="15"/>
    <cellStyle name="Heading 3" xfId="16"/>
    <cellStyle name="Hyperlink 9" xfId="17"/>
    <cellStyle name="Neutral 12" xfId="18"/>
    <cellStyle name="Note 7" xfId="19"/>
    <cellStyle name="Status 10" xfId="20"/>
    <cellStyle name="Text 6" xfId="21"/>
    <cellStyle name="Warning 14" xfId="22"/>
    <cellStyle name="제목 없음1" xfId="23"/>
    <cellStyle name="제목 없음2" xfId="24"/>
    <cellStyle name="제목 없음3" xfId="25"/>
    <cellStyle name="제목 없음4" xfId="26"/>
    <cellStyle name="제목 없음5" xfId="27"/>
    <cellStyle name="제목 없음6" xfId="28"/>
    <cellStyle name="제목 없음7" xfId="29"/>
    <cellStyle name="제목 없음8" xfId="30"/>
    <cellStyle name="제목 없음9" xfId="31"/>
  </cellStyles>
  <dxfs count="11">
    <dxf>
      <font>
        <name val="맑은 고딕"/>
        <charset val="129"/>
        <family val="2"/>
        <color rgb="FF000000"/>
        <sz val="11"/>
      </font>
      <fill>
        <patternFill>
          <bgColor rgb="FFFFFF6D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FFFF38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729FCF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B4C7DC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FFA6A6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F7D1D5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DDDDDD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D4EA6B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999999"/>
        </patternFill>
      </fill>
    </dxf>
    <dxf>
      <font>
        <name val="맑은 고딕"/>
        <charset val="129"/>
        <family val="2"/>
        <color rgb="FF9C0006"/>
        <sz val="11"/>
      </font>
      <fill>
        <patternFill>
          <bgColor rgb="FFFFC7CE"/>
        </patternFill>
      </fill>
    </dxf>
    <dxf>
      <font>
        <name val="맑은 고딕"/>
        <charset val="129"/>
        <family val="2"/>
        <b val="1"/>
        <color rgb="FF0000FF"/>
        <sz val="11"/>
      </font>
      <fill>
        <patternFill>
          <bgColor rgb="FFC6D9F1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38"/>
      <rgbColor rgb="FFFF00FF"/>
      <rgbColor rgb="FF00FFFF"/>
      <rgbColor rgb="FF9C0006"/>
      <rgbColor rgb="FF006600"/>
      <rgbColor rgb="FF000080"/>
      <rgbColor rgb="FF996600"/>
      <rgbColor rgb="FF800080"/>
      <rgbColor rgb="FF008080"/>
      <rgbColor rgb="FFB4C7DC"/>
      <rgbColor rgb="FF808080"/>
      <rgbColor rgb="FF729FCF"/>
      <rgbColor rgb="FF993366"/>
      <rgbColor rgb="FFFFFFCC"/>
      <rgbColor rgb="FFDDDDDD"/>
      <rgbColor rgb="FF660066"/>
      <rgbColor rgb="FFFF8080"/>
      <rgbColor rgb="FF0066CC"/>
      <rgbColor rgb="FFC6D9F1"/>
      <rgbColor rgb="FF000080"/>
      <rgbColor rgb="FFFF00FF"/>
      <rgbColor rgb="FFD4EA6B"/>
      <rgbColor rgb="FF00FFFF"/>
      <rgbColor rgb="FF800080"/>
      <rgbColor rgb="FF800000"/>
      <rgbColor rgb="FF008080"/>
      <rgbColor rgb="FF0000EE"/>
      <rgbColor rgb="FF00CCFF"/>
      <rgbColor rgb="FFF7D1D5"/>
      <rgbColor rgb="FFCCFFCC"/>
      <rgbColor rgb="FFFFFF6D"/>
      <rgbColor rgb="FF99CCFF"/>
      <rgbColor rgb="FFFFA6A6"/>
      <rgbColor rgb="FFFFC7CE"/>
      <rgbColor rgb="FFFFCCCC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003366"/>
      <rgbColor rgb="FF87878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varyColors val="0"/>
        <ser>
          <idx val="0"/>
          <order val="0"/>
          <spPr>
            <a:solidFill>
              <a:srgbClr val="4a7ebb"/>
            </a:solidFill>
            <a:ln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val>
            <numRef>
              <f>확률!$K$2:$K$46</f>
              <numCache>
                <formatCode>General</formatCode>
                <ptCount val="45"/>
                <pt idx="0">
                  <v>173</v>
                </pt>
                <pt idx="1">
                  <v>150</v>
                </pt>
                <pt idx="2">
                  <v>163</v>
                </pt>
                <pt idx="3">
                  <v>154</v>
                </pt>
                <pt idx="4">
                  <v>155</v>
                </pt>
                <pt idx="5">
                  <v>166</v>
                </pt>
                <pt idx="6">
                  <v>164</v>
                </pt>
                <pt idx="7">
                  <v>149</v>
                </pt>
                <pt idx="8">
                  <v>132</v>
                </pt>
                <pt idx="9">
                  <v>160</v>
                </pt>
                <pt idx="10">
                  <v>171</v>
                </pt>
                <pt idx="11">
                  <v>176</v>
                </pt>
                <pt idx="12">
                  <v>179</v>
                </pt>
                <pt idx="13">
                  <v>178</v>
                </pt>
                <pt idx="14">
                  <v>161</v>
                </pt>
                <pt idx="15">
                  <v>153</v>
                </pt>
                <pt idx="16">
                  <v>172</v>
                </pt>
                <pt idx="17">
                  <v>178</v>
                </pt>
                <pt idx="18">
                  <v>160</v>
                </pt>
                <pt idx="19">
                  <v>169</v>
                </pt>
                <pt idx="20">
                  <v>172</v>
                </pt>
                <pt idx="21">
                  <v>147</v>
                </pt>
                <pt idx="22">
                  <v>151</v>
                </pt>
                <pt idx="23">
                  <v>159</v>
                </pt>
                <pt idx="24">
                  <v>152</v>
                </pt>
                <pt idx="25">
                  <v>157</v>
                </pt>
                <pt idx="26">
                  <v>170</v>
                </pt>
                <pt idx="27">
                  <v>149</v>
                </pt>
                <pt idx="28">
                  <v>151</v>
                </pt>
                <pt idx="29">
                  <v>161</v>
                </pt>
                <pt idx="30">
                  <v>160</v>
                </pt>
                <pt idx="31">
                  <v>144</v>
                </pt>
                <pt idx="32">
                  <v>172</v>
                </pt>
                <pt idx="33">
                  <v>193</v>
                </pt>
                <pt idx="34">
                  <v>164</v>
                </pt>
                <pt idx="35">
                  <v>154</v>
                </pt>
                <pt idx="36">
                  <v>164</v>
                </pt>
                <pt idx="37">
                  <v>159</v>
                </pt>
                <pt idx="38">
                  <v>166</v>
                </pt>
                <pt idx="39">
                  <v>175</v>
                </pt>
                <pt idx="40">
                  <v>149</v>
                </pt>
                <pt idx="41">
                  <v>158</v>
                </pt>
                <pt idx="42">
                  <v>161</v>
                </pt>
                <pt idx="43">
                  <v>160</v>
                </pt>
                <pt idx="44">
                  <v>173</v>
                </pt>
              </numCache>
            </numRef>
          </val>
          <smooth val="0"/>
        </ser>
        <hiLowLines>
          <spPr>
            <a:ln>
              <a:noFill/>
              <a:prstDash val="solid"/>
            </a:ln>
          </spPr>
        </hiLowLines>
        <marker val="0"/>
        <axId val="11396160"/>
        <axId val="87405717"/>
      </lineChart>
      <catAx>
        <axId val="1139616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7405717"/>
        <crosses val="autoZero"/>
        <auto val="1"/>
        <lblAlgn val="ctr"/>
        <lblOffset val="100"/>
      </catAx>
      <valAx>
        <axId val="87405717"/>
        <scaling>
          <orientation val="minMax"/>
          <min val="80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out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1396160"/>
        <crosses val="autoZero"/>
        <crossBetween val="midCat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13</col>
      <colOff>25920</colOff>
      <row>0</row>
      <rowOff>209520</rowOff>
    </from>
    <to>
      <col>26</col>
      <colOff>651240</colOff>
      <row>25</row>
      <rowOff>205920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3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1210" activePane="bottomLeft" state="frozen"/>
      <selection pane="topLeft" activeCell="A1" activeCellId="0" sqref="A1"/>
      <selection pane="bottomLeft" activeCell="I1215" activeCellId="0" sqref="I1215"/>
    </sheetView>
  </sheetViews>
  <sheetFormatPr baseColWidth="8" defaultRowHeight="13.8" zeroHeight="0" outlineLevelRow="0"/>
  <cols>
    <col width="8.619999999999999" customWidth="1" style="27" min="1" max="11"/>
    <col width="12.1" customWidth="1" style="27" min="12" max="12"/>
    <col width="8.619999999999999" customWidth="1" style="27" min="13" max="1025"/>
  </cols>
  <sheetData>
    <row r="1" ht="33" customHeight="1" s="28">
      <c r="A1" s="29" t="inlineStr">
        <is>
          <t xml:space="preserve">    자릿수
회차</t>
        </is>
      </c>
      <c r="B1" s="27" t="n">
        <v>1</v>
      </c>
      <c r="C1" s="27" t="n">
        <v>2</v>
      </c>
      <c r="D1" s="27" t="n">
        <v>3</v>
      </c>
      <c r="E1" s="27" t="n">
        <v>4</v>
      </c>
      <c r="F1" s="27" t="n">
        <v>5</v>
      </c>
      <c r="G1" s="27" t="n">
        <v>6</v>
      </c>
      <c r="H1" s="30" t="inlineStr">
        <is>
          <t>+</t>
        </is>
      </c>
      <c r="J1" s="27" t="inlineStr">
        <is>
          <t>핫 넘버수</t>
        </is>
      </c>
      <c r="K1" s="27" t="inlineStr">
        <is>
          <t>쿨 넘버수</t>
        </is>
      </c>
      <c r="L1" s="27" t="inlineStr">
        <is>
          <t>랜덤 번호 수</t>
        </is>
      </c>
    </row>
    <row r="2" ht="16.5" customHeight="1" s="28">
      <c r="A2" s="31" t="n">
        <v>1</v>
      </c>
      <c r="B2" s="27" t="n">
        <v>10</v>
      </c>
      <c r="C2" s="27" t="n">
        <v>23</v>
      </c>
      <c r="D2" s="27" t="n">
        <v>29</v>
      </c>
      <c r="E2" s="27" t="n">
        <v>33</v>
      </c>
      <c r="F2" s="27" t="n">
        <v>37</v>
      </c>
      <c r="G2" s="27" t="n">
        <v>40</v>
      </c>
      <c r="H2" s="27" t="n">
        <v>16</v>
      </c>
      <c r="J2" s="27">
        <f>SUMPRODUCT(COUNTIFS(확률!$J$2:$J$46, 원본!B2:G2, 확률!$M$2:$M$46, "&lt;=20"))</f>
        <v/>
      </c>
      <c r="K2" s="27">
        <f>SUMPRODUCT(COUNTIFS(확률!$J$2:$J$46, 원본!B2:G2, 확률!$M$2:$M$46, "&gt;=36"))</f>
        <v/>
      </c>
      <c r="L2" s="27">
        <f>6-J2-K2</f>
        <v/>
      </c>
    </row>
    <row r="3" ht="16.4" customHeight="1" s="28">
      <c r="A3" s="31" t="n">
        <v>2</v>
      </c>
      <c r="B3" s="27" t="n">
        <v>9</v>
      </c>
      <c r="C3" s="27" t="n">
        <v>13</v>
      </c>
      <c r="D3" s="27" t="n">
        <v>21</v>
      </c>
      <c r="E3" s="27" t="n">
        <v>25</v>
      </c>
      <c r="F3" s="27" t="n">
        <v>32</v>
      </c>
      <c r="G3" s="27" t="n">
        <v>42</v>
      </c>
      <c r="H3" s="27" t="n">
        <v>2</v>
      </c>
      <c r="J3" s="27">
        <f>SUMPRODUCT(COUNTIFS(확률!$J$2:$J$46, 원본!B3:G3, 확률!$M$2:$M$46, "&lt;=20"))</f>
        <v/>
      </c>
      <c r="K3" s="27">
        <f>SUMPRODUCT(COUNTIFS(확률!$J$2:$J$46, 원본!B3:G3, 확률!$M$2:$M$46, "&gt;=36"))</f>
        <v/>
      </c>
      <c r="L3" s="27">
        <f>6-J3-K3</f>
        <v/>
      </c>
    </row>
    <row r="4" ht="16.4" customHeight="1" s="28">
      <c r="A4" s="31" t="n">
        <v>3</v>
      </c>
      <c r="B4" s="27" t="n">
        <v>11</v>
      </c>
      <c r="C4" s="27" t="n">
        <v>16</v>
      </c>
      <c r="D4" s="27" t="n">
        <v>19</v>
      </c>
      <c r="E4" s="27" t="n">
        <v>21</v>
      </c>
      <c r="F4" s="27" t="n">
        <v>27</v>
      </c>
      <c r="G4" s="27" t="n">
        <v>31</v>
      </c>
      <c r="H4" s="27" t="n">
        <v>30</v>
      </c>
      <c r="J4" s="27">
        <f>SUMPRODUCT(COUNTIFS(확률!$J$2:$J$46, 원본!B4:G4, 확률!$M$2:$M$46, "&lt;=20"))</f>
        <v/>
      </c>
      <c r="K4" s="27">
        <f>SUMPRODUCT(COUNTIFS(확률!$J$2:$J$46, 원본!B4:G4, 확률!$M$2:$M$46, "&gt;=36"))</f>
        <v/>
      </c>
      <c r="L4" s="27">
        <f>6-J4-K4</f>
        <v/>
      </c>
    </row>
    <row r="5" ht="16.4" customHeight="1" s="28">
      <c r="A5" s="31" t="n">
        <v>4</v>
      </c>
      <c r="B5" s="27" t="n">
        <v>14</v>
      </c>
      <c r="C5" s="27" t="n">
        <v>27</v>
      </c>
      <c r="D5" s="27" t="n">
        <v>30</v>
      </c>
      <c r="E5" s="27" t="n">
        <v>31</v>
      </c>
      <c r="F5" s="27" t="n">
        <v>40</v>
      </c>
      <c r="G5" s="27" t="n">
        <v>42</v>
      </c>
      <c r="H5" s="27" t="n">
        <v>2</v>
      </c>
      <c r="J5" s="27">
        <f>SUMPRODUCT(COUNTIFS(확률!$J$2:$J$46, 원본!B5:G5, 확률!$M$2:$M$46, "&lt;=20"))</f>
        <v/>
      </c>
      <c r="K5" s="27">
        <f>SUMPRODUCT(COUNTIFS(확률!$J$2:$J$46, 원본!B5:G5, 확률!$M$2:$M$46, "&gt;=36"))</f>
        <v/>
      </c>
      <c r="L5" s="27">
        <f>6-J5-K5</f>
        <v/>
      </c>
    </row>
    <row r="6" ht="16.5" customHeight="1" s="28">
      <c r="A6" s="31" t="n">
        <v>5</v>
      </c>
      <c r="B6" s="27" t="n">
        <v>16</v>
      </c>
      <c r="C6" s="27" t="n">
        <v>24</v>
      </c>
      <c r="D6" s="27" t="n">
        <v>29</v>
      </c>
      <c r="E6" s="27" t="n">
        <v>40</v>
      </c>
      <c r="F6" s="27" t="n">
        <v>41</v>
      </c>
      <c r="G6" s="27" t="n">
        <v>42</v>
      </c>
      <c r="H6" s="27" t="n">
        <v>3</v>
      </c>
      <c r="J6" s="27">
        <f>SUMPRODUCT(COUNTIFS(확률!$J$2:$J$46, 원본!B6:G6, 확률!$M$2:$M$46, "&lt;=20"))</f>
        <v/>
      </c>
      <c r="K6" s="27">
        <f>SUMPRODUCT(COUNTIFS(확률!$J$2:$J$46, 원본!B6:G6, 확률!$M$2:$M$46, "&gt;=36"))</f>
        <v/>
      </c>
      <c r="L6" s="27">
        <f>6-J6-K6</f>
        <v/>
      </c>
    </row>
    <row r="7" ht="16.4" customHeight="1" s="28">
      <c r="A7" s="31" t="n">
        <v>6</v>
      </c>
      <c r="B7" s="27" t="n">
        <v>14</v>
      </c>
      <c r="C7" s="27" t="n">
        <v>15</v>
      </c>
      <c r="D7" s="27" t="n">
        <v>26</v>
      </c>
      <c r="E7" s="27" t="n">
        <v>27</v>
      </c>
      <c r="F7" s="27" t="n">
        <v>40</v>
      </c>
      <c r="G7" s="27" t="n">
        <v>42</v>
      </c>
      <c r="H7" s="27" t="n">
        <v>34</v>
      </c>
      <c r="J7" s="27">
        <f>SUMPRODUCT(COUNTIFS(확률!$J$2:$J$46, 원본!B7:G7, 확률!$M$2:$M$46, "&lt;=20"))</f>
        <v/>
      </c>
      <c r="K7" s="27">
        <f>SUMPRODUCT(COUNTIFS(확률!$J$2:$J$46, 원본!B7:G7, 확률!$M$2:$M$46, "&gt;=36"))</f>
        <v/>
      </c>
      <c r="L7" s="27">
        <f>6-J7-K7</f>
        <v/>
      </c>
    </row>
    <row r="8" ht="16.4" customHeight="1" s="28">
      <c r="A8" s="31" t="n">
        <v>7</v>
      </c>
      <c r="B8" s="27" t="n">
        <v>2</v>
      </c>
      <c r="C8" s="27" t="n">
        <v>9</v>
      </c>
      <c r="D8" s="27" t="n">
        <v>16</v>
      </c>
      <c r="E8" s="27" t="n">
        <v>24</v>
      </c>
      <c r="F8" s="27" t="n">
        <v>26</v>
      </c>
      <c r="G8" s="27" t="n">
        <v>40</v>
      </c>
      <c r="H8" s="27" t="n">
        <v>42</v>
      </c>
      <c r="J8" s="27">
        <f>SUMPRODUCT(COUNTIFS(확률!$J$2:$J$46, 원본!B8:G8, 확률!$M$2:$M$46, "&lt;=20"))</f>
        <v/>
      </c>
      <c r="K8" s="27">
        <f>SUMPRODUCT(COUNTIFS(확률!$J$2:$J$46, 원본!B8:G8, 확률!$M$2:$M$46, "&gt;=36"))</f>
        <v/>
      </c>
      <c r="L8" s="27">
        <f>6-J8-K8</f>
        <v/>
      </c>
    </row>
    <row r="9" ht="16.4" customHeight="1" s="28">
      <c r="A9" s="31" t="n">
        <v>8</v>
      </c>
      <c r="B9" s="27" t="n">
        <v>8</v>
      </c>
      <c r="C9" s="27" t="n">
        <v>19</v>
      </c>
      <c r="D9" s="27" t="n">
        <v>25</v>
      </c>
      <c r="E9" s="27" t="n">
        <v>34</v>
      </c>
      <c r="F9" s="27" t="n">
        <v>37</v>
      </c>
      <c r="G9" s="27" t="n">
        <v>39</v>
      </c>
      <c r="H9" s="27" t="n">
        <v>9</v>
      </c>
      <c r="J9" s="27">
        <f>SUMPRODUCT(COUNTIFS(확률!$J$2:$J$46, 원본!B9:G9, 확률!$M$2:$M$46, "&lt;=20"))</f>
        <v/>
      </c>
      <c r="K9" s="27">
        <f>SUMPRODUCT(COUNTIFS(확률!$J$2:$J$46, 원본!B9:G9, 확률!$M$2:$M$46, "&gt;=36"))</f>
        <v/>
      </c>
      <c r="L9" s="27">
        <f>6-J9-K9</f>
        <v/>
      </c>
    </row>
    <row r="10" ht="16.4" customHeight="1" s="28">
      <c r="A10" s="31" t="n">
        <v>9</v>
      </c>
      <c r="B10" s="27" t="n">
        <v>2</v>
      </c>
      <c r="C10" s="27" t="n">
        <v>4</v>
      </c>
      <c r="D10" s="27" t="n">
        <v>16</v>
      </c>
      <c r="E10" s="27" t="n">
        <v>17</v>
      </c>
      <c r="F10" s="27" t="n">
        <v>36</v>
      </c>
      <c r="G10" s="27" t="n">
        <v>39</v>
      </c>
      <c r="H10" s="27" t="n">
        <v>14</v>
      </c>
      <c r="J10" s="27">
        <f>SUMPRODUCT(COUNTIFS(확률!$J$2:$J$46, 원본!B10:G10, 확률!$M$2:$M$46, "&lt;=20"))</f>
        <v/>
      </c>
      <c r="K10" s="27">
        <f>SUMPRODUCT(COUNTIFS(확률!$J$2:$J$46, 원본!B10:G10, 확률!$M$2:$M$46, "&gt;=36"))</f>
        <v/>
      </c>
      <c r="L10" s="27">
        <f>6-J10-K10</f>
        <v/>
      </c>
    </row>
    <row r="11" ht="16.4" customHeight="1" s="28">
      <c r="A11" s="31" t="n">
        <v>10</v>
      </c>
      <c r="B11" s="27" t="n">
        <v>9</v>
      </c>
      <c r="C11" s="27" t="n">
        <v>25</v>
      </c>
      <c r="D11" s="27" t="n">
        <v>30</v>
      </c>
      <c r="E11" s="27" t="n">
        <v>33</v>
      </c>
      <c r="F11" s="27" t="n">
        <v>41</v>
      </c>
      <c r="G11" s="27" t="n">
        <v>44</v>
      </c>
      <c r="H11" s="27" t="n">
        <v>6</v>
      </c>
      <c r="J11" s="27">
        <f>SUMPRODUCT(COUNTIFS(확률!$J$2:$J$46, 원본!B11:G11, 확률!$M$2:$M$46, "&lt;=20"))</f>
        <v/>
      </c>
      <c r="K11" s="27">
        <f>SUMPRODUCT(COUNTIFS(확률!$J$2:$J$46, 원본!B11:G11, 확률!$M$2:$M$46, "&gt;=36"))</f>
        <v/>
      </c>
      <c r="L11" s="27">
        <f>6-J11-K11</f>
        <v/>
      </c>
    </row>
    <row r="12" ht="16.4" customHeight="1" s="28">
      <c r="A12" s="31" t="n">
        <v>11</v>
      </c>
      <c r="B12" s="27" t="n">
        <v>1</v>
      </c>
      <c r="C12" s="27" t="n">
        <v>7</v>
      </c>
      <c r="D12" s="27" t="n">
        <v>36</v>
      </c>
      <c r="E12" s="27" t="n">
        <v>37</v>
      </c>
      <c r="F12" s="27" t="n">
        <v>41</v>
      </c>
      <c r="G12" s="27" t="n">
        <v>42</v>
      </c>
      <c r="H12" s="27" t="n">
        <v>14</v>
      </c>
      <c r="J12" s="27">
        <f>SUMPRODUCT(COUNTIFS(확률!$J$2:$J$46, 원본!B12:G12, 확률!$M$2:$M$46, "&lt;=20"))</f>
        <v/>
      </c>
      <c r="K12" s="27">
        <f>SUMPRODUCT(COUNTIFS(확률!$J$2:$J$46, 원본!B12:G12, 확률!$M$2:$M$46, "&gt;=36"))</f>
        <v/>
      </c>
      <c r="L12" s="27">
        <f>6-J12-K12</f>
        <v/>
      </c>
    </row>
    <row r="13" ht="16.5" customHeight="1" s="28">
      <c r="A13" s="31" t="n">
        <v>12</v>
      </c>
      <c r="B13" s="27" t="n">
        <v>2</v>
      </c>
      <c r="C13" s="27" t="n">
        <v>11</v>
      </c>
      <c r="D13" s="27" t="n">
        <v>21</v>
      </c>
      <c r="E13" s="27" t="n">
        <v>25</v>
      </c>
      <c r="F13" s="27" t="n">
        <v>39</v>
      </c>
      <c r="G13" s="27" t="n">
        <v>45</v>
      </c>
      <c r="H13" s="27" t="n">
        <v>44</v>
      </c>
      <c r="J13" s="27">
        <f>SUMPRODUCT(COUNTIFS(확률!$J$2:$J$46, 원본!B13:G13, 확률!$M$2:$M$46, "&lt;=20"))</f>
        <v/>
      </c>
      <c r="K13" s="27">
        <f>SUMPRODUCT(COUNTIFS(확률!$J$2:$J$46, 원본!B13:G13, 확률!$M$2:$M$46, "&gt;=36"))</f>
        <v/>
      </c>
      <c r="L13" s="27">
        <f>6-J13-K13</f>
        <v/>
      </c>
    </row>
    <row r="14" ht="16.5" customHeight="1" s="28">
      <c r="A14" s="31" t="n">
        <v>13</v>
      </c>
      <c r="B14" s="27" t="n">
        <v>22</v>
      </c>
      <c r="C14" s="27" t="n">
        <v>23</v>
      </c>
      <c r="D14" s="27" t="n">
        <v>25</v>
      </c>
      <c r="E14" s="27" t="n">
        <v>37</v>
      </c>
      <c r="F14" s="27" t="n">
        <v>38</v>
      </c>
      <c r="G14" s="27" t="n">
        <v>42</v>
      </c>
      <c r="H14" s="27" t="n">
        <v>26</v>
      </c>
      <c r="J14" s="27">
        <f>SUMPRODUCT(COUNTIFS(확률!$J$2:$J$46, 원본!B14:G14, 확률!$M$2:$M$46, "&lt;=20"))</f>
        <v/>
      </c>
      <c r="K14" s="27">
        <f>SUMPRODUCT(COUNTIFS(확률!$J$2:$J$46, 원본!B14:G14, 확률!$M$2:$M$46, "&gt;=36"))</f>
        <v/>
      </c>
      <c r="L14" s="27">
        <f>6-J14-K14</f>
        <v/>
      </c>
    </row>
    <row r="15" ht="16.5" customHeight="1" s="28">
      <c r="A15" s="31" t="n">
        <v>14</v>
      </c>
      <c r="B15" s="27" t="n">
        <v>2</v>
      </c>
      <c r="C15" s="27" t="n">
        <v>6</v>
      </c>
      <c r="D15" s="27" t="n">
        <v>12</v>
      </c>
      <c r="E15" s="27" t="n">
        <v>31</v>
      </c>
      <c r="F15" s="27" t="n">
        <v>33</v>
      </c>
      <c r="G15" s="27" t="n">
        <v>40</v>
      </c>
      <c r="H15" s="27" t="n">
        <v>15</v>
      </c>
      <c r="J15" s="27">
        <f>SUMPRODUCT(COUNTIFS(확률!$J$2:$J$46, 원본!B15:G15, 확률!$M$2:$M$46, "&lt;=20"))</f>
        <v/>
      </c>
      <c r="K15" s="27">
        <f>SUMPRODUCT(COUNTIFS(확률!$J$2:$J$46, 원본!B15:G15, 확률!$M$2:$M$46, "&gt;=36"))</f>
        <v/>
      </c>
      <c r="L15" s="27">
        <f>6-J15-K15</f>
        <v/>
      </c>
    </row>
    <row r="16" ht="16.5" customHeight="1" s="28">
      <c r="A16" s="31" t="n">
        <v>15</v>
      </c>
      <c r="B16" s="27" t="n">
        <v>3</v>
      </c>
      <c r="C16" s="27" t="n">
        <v>4</v>
      </c>
      <c r="D16" s="27" t="n">
        <v>16</v>
      </c>
      <c r="E16" s="27" t="n">
        <v>30</v>
      </c>
      <c r="F16" s="27" t="n">
        <v>31</v>
      </c>
      <c r="G16" s="27" t="n">
        <v>37</v>
      </c>
      <c r="H16" s="27" t="n">
        <v>13</v>
      </c>
      <c r="J16" s="27">
        <f>SUMPRODUCT(COUNTIFS(확률!$J$2:$J$46, 원본!B16:G16, 확률!$M$2:$M$46, "&lt;=20"))</f>
        <v/>
      </c>
      <c r="K16" s="27">
        <f>SUMPRODUCT(COUNTIFS(확률!$J$2:$J$46, 원본!B16:G16, 확률!$M$2:$M$46, "&gt;=36"))</f>
        <v/>
      </c>
      <c r="L16" s="27">
        <f>6-J16-K16</f>
        <v/>
      </c>
    </row>
    <row r="17" ht="16.5" customHeight="1" s="28">
      <c r="A17" s="31" t="n">
        <v>16</v>
      </c>
      <c r="B17" s="27" t="n">
        <v>6</v>
      </c>
      <c r="C17" s="27" t="n">
        <v>7</v>
      </c>
      <c r="D17" s="27" t="n">
        <v>24</v>
      </c>
      <c r="E17" s="27" t="n">
        <v>37</v>
      </c>
      <c r="F17" s="27" t="n">
        <v>38</v>
      </c>
      <c r="G17" s="27" t="n">
        <v>40</v>
      </c>
      <c r="H17" s="27" t="n">
        <v>33</v>
      </c>
      <c r="J17" s="27">
        <f>SUMPRODUCT(COUNTIFS(확률!$J$2:$J$46, 원본!B17:G17, 확률!$M$2:$M$46, "&lt;=20"))</f>
        <v/>
      </c>
      <c r="K17" s="27">
        <f>SUMPRODUCT(COUNTIFS(확률!$J$2:$J$46, 원본!B17:G17, 확률!$M$2:$M$46, "&gt;=36"))</f>
        <v/>
      </c>
      <c r="L17" s="27">
        <f>6-J17-K17</f>
        <v/>
      </c>
    </row>
    <row r="18" ht="16.5" customHeight="1" s="28">
      <c r="A18" s="31" t="n">
        <v>17</v>
      </c>
      <c r="B18" s="27" t="n">
        <v>3</v>
      </c>
      <c r="C18" s="27" t="n">
        <v>4</v>
      </c>
      <c r="D18" s="27" t="n">
        <v>9</v>
      </c>
      <c r="E18" s="27" t="n">
        <v>17</v>
      </c>
      <c r="F18" s="27" t="n">
        <v>32</v>
      </c>
      <c r="G18" s="27" t="n">
        <v>37</v>
      </c>
      <c r="H18" s="27" t="n">
        <v>1</v>
      </c>
      <c r="J18" s="27">
        <f>SUMPRODUCT(COUNTIFS(확률!$J$2:$J$46, 원본!B18:G18, 확률!$M$2:$M$46, "&lt;=20"))</f>
        <v/>
      </c>
      <c r="K18" s="27">
        <f>SUMPRODUCT(COUNTIFS(확률!$J$2:$J$46, 원본!B18:G18, 확률!$M$2:$M$46, "&gt;=36"))</f>
        <v/>
      </c>
      <c r="L18" s="27">
        <f>6-J18-K18</f>
        <v/>
      </c>
    </row>
    <row r="19" ht="16.5" customHeight="1" s="28">
      <c r="A19" s="31" t="n">
        <v>18</v>
      </c>
      <c r="B19" s="27" t="n">
        <v>3</v>
      </c>
      <c r="C19" s="27" t="n">
        <v>12</v>
      </c>
      <c r="D19" s="27" t="n">
        <v>13</v>
      </c>
      <c r="E19" s="27" t="n">
        <v>19</v>
      </c>
      <c r="F19" s="27" t="n">
        <v>32</v>
      </c>
      <c r="G19" s="27" t="n">
        <v>35</v>
      </c>
      <c r="H19" s="27" t="n">
        <v>29</v>
      </c>
      <c r="J19" s="27">
        <f>SUMPRODUCT(COUNTIFS(확률!$J$2:$J$46, 원본!B19:G19, 확률!$M$2:$M$46, "&lt;=20"))</f>
        <v/>
      </c>
      <c r="K19" s="27">
        <f>SUMPRODUCT(COUNTIFS(확률!$J$2:$J$46, 원본!B19:G19, 확률!$M$2:$M$46, "&gt;=36"))</f>
        <v/>
      </c>
      <c r="L19" s="27">
        <f>6-J19-K19</f>
        <v/>
      </c>
    </row>
    <row r="20" ht="16.5" customHeight="1" s="28">
      <c r="A20" s="31" t="n">
        <v>19</v>
      </c>
      <c r="B20" s="27" t="n">
        <v>6</v>
      </c>
      <c r="C20" s="27" t="n">
        <v>30</v>
      </c>
      <c r="D20" s="27" t="n">
        <v>38</v>
      </c>
      <c r="E20" s="27" t="n">
        <v>39</v>
      </c>
      <c r="F20" s="27" t="n">
        <v>40</v>
      </c>
      <c r="G20" s="27" t="n">
        <v>43</v>
      </c>
      <c r="H20" s="27" t="n">
        <v>26</v>
      </c>
      <c r="J20" s="27">
        <f>SUMPRODUCT(COUNTIFS(확률!$J$2:$J$46, 원본!B20:G20, 확률!$M$2:$M$46, "&lt;=20"))</f>
        <v/>
      </c>
      <c r="K20" s="27">
        <f>SUMPRODUCT(COUNTIFS(확률!$J$2:$J$46, 원본!B20:G20, 확률!$M$2:$M$46, "&gt;=36"))</f>
        <v/>
      </c>
      <c r="L20" s="27">
        <f>6-J20-K20</f>
        <v/>
      </c>
    </row>
    <row r="21" ht="16.5" customHeight="1" s="28">
      <c r="A21" s="31" t="n">
        <v>20</v>
      </c>
      <c r="B21" s="27" t="n">
        <v>10</v>
      </c>
      <c r="C21" s="27" t="n">
        <v>14</v>
      </c>
      <c r="D21" s="27" t="n">
        <v>18</v>
      </c>
      <c r="E21" s="27" t="n">
        <v>20</v>
      </c>
      <c r="F21" s="27" t="n">
        <v>23</v>
      </c>
      <c r="G21" s="27" t="n">
        <v>30</v>
      </c>
      <c r="H21" s="27" t="n">
        <v>41</v>
      </c>
      <c r="J21" s="27">
        <f>SUMPRODUCT(COUNTIFS(확률!$J$2:$J$46, 원본!B21:G21, 확률!$M$2:$M$46, "&lt;=20"))</f>
        <v/>
      </c>
      <c r="K21" s="27">
        <f>SUMPRODUCT(COUNTIFS(확률!$J$2:$J$46, 원본!B21:G21, 확률!$M$2:$M$46, "&gt;=36"))</f>
        <v/>
      </c>
      <c r="L21" s="27">
        <f>6-J21-K21</f>
        <v/>
      </c>
    </row>
    <row r="22" ht="16.5" customHeight="1" s="28">
      <c r="A22" s="31" t="n">
        <v>21</v>
      </c>
      <c r="B22" s="27" t="n">
        <v>6</v>
      </c>
      <c r="C22" s="27" t="n">
        <v>12</v>
      </c>
      <c r="D22" s="27" t="n">
        <v>17</v>
      </c>
      <c r="E22" s="27" t="n">
        <v>18</v>
      </c>
      <c r="F22" s="27" t="n">
        <v>31</v>
      </c>
      <c r="G22" s="27" t="n">
        <v>32</v>
      </c>
      <c r="H22" s="27" t="n">
        <v>21</v>
      </c>
      <c r="J22" s="27">
        <f>SUMPRODUCT(COUNTIFS(확률!$J$2:$J$46, 원본!B22:G22, 확률!$M$2:$M$46, "&lt;=20"))</f>
        <v/>
      </c>
      <c r="K22" s="27">
        <f>SUMPRODUCT(COUNTIFS(확률!$J$2:$J$46, 원본!B22:G22, 확률!$M$2:$M$46, "&gt;=36"))</f>
        <v/>
      </c>
      <c r="L22" s="27">
        <f>6-J22-K22</f>
        <v/>
      </c>
    </row>
    <row r="23" ht="16.5" customHeight="1" s="28">
      <c r="A23" s="31" t="n">
        <v>22</v>
      </c>
      <c r="B23" s="27" t="n">
        <v>4</v>
      </c>
      <c r="C23" s="27" t="n">
        <v>5</v>
      </c>
      <c r="D23" s="27" t="n">
        <v>6</v>
      </c>
      <c r="E23" s="27" t="n">
        <v>8</v>
      </c>
      <c r="F23" s="27" t="n">
        <v>17</v>
      </c>
      <c r="G23" s="27" t="n">
        <v>39</v>
      </c>
      <c r="H23" s="27" t="n">
        <v>25</v>
      </c>
      <c r="J23" s="27">
        <f>SUMPRODUCT(COUNTIFS(확률!$J$2:$J$46, 원본!B23:G23, 확률!$M$2:$M$46, "&lt;=20"))</f>
        <v/>
      </c>
      <c r="K23" s="27">
        <f>SUMPRODUCT(COUNTIFS(확률!$J$2:$J$46, 원본!B23:G23, 확률!$M$2:$M$46, "&gt;=36"))</f>
        <v/>
      </c>
      <c r="L23" s="27">
        <f>6-J23-K23</f>
        <v/>
      </c>
    </row>
    <row r="24" ht="16.5" customHeight="1" s="28">
      <c r="A24" s="31" t="n">
        <v>23</v>
      </c>
      <c r="B24" s="27" t="n">
        <v>5</v>
      </c>
      <c r="C24" s="27" t="n">
        <v>13</v>
      </c>
      <c r="D24" s="27" t="n">
        <v>17</v>
      </c>
      <c r="E24" s="27" t="n">
        <v>18</v>
      </c>
      <c r="F24" s="27" t="n">
        <v>33</v>
      </c>
      <c r="G24" s="27" t="n">
        <v>42</v>
      </c>
      <c r="H24" s="27" t="n">
        <v>44</v>
      </c>
      <c r="J24" s="27">
        <f>SUMPRODUCT(COUNTIFS(확률!$J$2:$J$46, 원본!B24:G24, 확률!$M$2:$M$46, "&lt;=20"))</f>
        <v/>
      </c>
      <c r="K24" s="27">
        <f>SUMPRODUCT(COUNTIFS(확률!$J$2:$J$46, 원본!B24:G24, 확률!$M$2:$M$46, "&gt;=36"))</f>
        <v/>
      </c>
      <c r="L24" s="27">
        <f>6-J24-K24</f>
        <v/>
      </c>
    </row>
    <row r="25" ht="16.5" customHeight="1" s="28">
      <c r="A25" s="31" t="n">
        <v>24</v>
      </c>
      <c r="B25" s="27" t="n">
        <v>7</v>
      </c>
      <c r="C25" s="27" t="n">
        <v>8</v>
      </c>
      <c r="D25" s="27" t="n">
        <v>27</v>
      </c>
      <c r="E25" s="27" t="n">
        <v>29</v>
      </c>
      <c r="F25" s="27" t="n">
        <v>36</v>
      </c>
      <c r="G25" s="27" t="n">
        <v>43</v>
      </c>
      <c r="H25" s="27" t="n">
        <v>6</v>
      </c>
      <c r="J25" s="27">
        <f>SUMPRODUCT(COUNTIFS(확률!$J$2:$J$46, 원본!B25:G25, 확률!$M$2:$M$46, "&lt;=20"))</f>
        <v/>
      </c>
      <c r="K25" s="27">
        <f>SUMPRODUCT(COUNTIFS(확률!$J$2:$J$46, 원본!B25:G25, 확률!$M$2:$M$46, "&gt;=36"))</f>
        <v/>
      </c>
      <c r="L25" s="27">
        <f>6-J25-K25</f>
        <v/>
      </c>
    </row>
    <row r="26" ht="16.5" customHeight="1" s="28">
      <c r="A26" s="31" t="n">
        <v>25</v>
      </c>
      <c r="B26" s="27" t="n">
        <v>2</v>
      </c>
      <c r="C26" s="27" t="n">
        <v>4</v>
      </c>
      <c r="D26" s="27" t="n">
        <v>21</v>
      </c>
      <c r="E26" s="27" t="n">
        <v>26</v>
      </c>
      <c r="F26" s="27" t="n">
        <v>43</v>
      </c>
      <c r="G26" s="27" t="n">
        <v>44</v>
      </c>
      <c r="H26" s="27" t="n">
        <v>16</v>
      </c>
      <c r="J26" s="27">
        <f>SUMPRODUCT(COUNTIFS(확률!$J$2:$J$46, 원본!B26:G26, 확률!$M$2:$M$46, "&lt;=20"))</f>
        <v/>
      </c>
      <c r="K26" s="27">
        <f>SUMPRODUCT(COUNTIFS(확률!$J$2:$J$46, 원본!B26:G26, 확률!$M$2:$M$46, "&gt;=36"))</f>
        <v/>
      </c>
      <c r="L26" s="27">
        <f>6-J26-K26</f>
        <v/>
      </c>
    </row>
    <row r="27" ht="16.5" customHeight="1" s="28">
      <c r="A27" s="31" t="n">
        <v>26</v>
      </c>
      <c r="B27" s="27" t="n">
        <v>4</v>
      </c>
      <c r="C27" s="27" t="n">
        <v>5</v>
      </c>
      <c r="D27" s="27" t="n">
        <v>7</v>
      </c>
      <c r="E27" s="27" t="n">
        <v>18</v>
      </c>
      <c r="F27" s="27" t="n">
        <v>20</v>
      </c>
      <c r="G27" s="27" t="n">
        <v>25</v>
      </c>
      <c r="H27" s="27" t="n">
        <v>31</v>
      </c>
      <c r="J27" s="27">
        <f>SUMPRODUCT(COUNTIFS(확률!$J$2:$J$46, 원본!B27:G27, 확률!$M$2:$M$46, "&lt;=20"))</f>
        <v/>
      </c>
      <c r="K27" s="27">
        <f>SUMPRODUCT(COUNTIFS(확률!$J$2:$J$46, 원본!B27:G27, 확률!$M$2:$M$46, "&gt;=36"))</f>
        <v/>
      </c>
      <c r="L27" s="27">
        <f>6-J27-K27</f>
        <v/>
      </c>
    </row>
    <row r="28" ht="16.5" customHeight="1" s="28">
      <c r="A28" s="31" t="n">
        <v>27</v>
      </c>
      <c r="B28" s="27" t="n">
        <v>1</v>
      </c>
      <c r="C28" s="27" t="n">
        <v>20</v>
      </c>
      <c r="D28" s="27" t="n">
        <v>26</v>
      </c>
      <c r="E28" s="27" t="n">
        <v>28</v>
      </c>
      <c r="F28" s="27" t="n">
        <v>37</v>
      </c>
      <c r="G28" s="27" t="n">
        <v>43</v>
      </c>
      <c r="H28" s="27" t="n">
        <v>27</v>
      </c>
      <c r="J28" s="27">
        <f>SUMPRODUCT(COUNTIFS(확률!$J$2:$J$46, 원본!B28:G28, 확률!$M$2:$M$46, "&lt;=20"))</f>
        <v/>
      </c>
      <c r="K28" s="27">
        <f>SUMPRODUCT(COUNTIFS(확률!$J$2:$J$46, 원본!B28:G28, 확률!$M$2:$M$46, "&gt;=36"))</f>
        <v/>
      </c>
      <c r="L28" s="27">
        <f>6-J28-K28</f>
        <v/>
      </c>
    </row>
    <row r="29" ht="16.5" customHeight="1" s="28">
      <c r="A29" s="31" t="n">
        <v>28</v>
      </c>
      <c r="B29" s="27" t="n">
        <v>9</v>
      </c>
      <c r="C29" s="27" t="n">
        <v>18</v>
      </c>
      <c r="D29" s="27" t="n">
        <v>23</v>
      </c>
      <c r="E29" s="27" t="n">
        <v>25</v>
      </c>
      <c r="F29" s="27" t="n">
        <v>35</v>
      </c>
      <c r="G29" s="27" t="n">
        <v>37</v>
      </c>
      <c r="H29" s="27" t="n">
        <v>1</v>
      </c>
      <c r="J29" s="27">
        <f>SUMPRODUCT(COUNTIFS(확률!$J$2:$J$46, 원본!B29:G29, 확률!$M$2:$M$46, "&lt;=20"))</f>
        <v/>
      </c>
      <c r="K29" s="27">
        <f>SUMPRODUCT(COUNTIFS(확률!$J$2:$J$46, 원본!B29:G29, 확률!$M$2:$M$46, "&gt;=36"))</f>
        <v/>
      </c>
      <c r="L29" s="27">
        <f>6-J29-K29</f>
        <v/>
      </c>
    </row>
    <row r="30" ht="16.5" customHeight="1" s="28">
      <c r="A30" s="31" t="n">
        <v>29</v>
      </c>
      <c r="B30" s="27" t="n">
        <v>1</v>
      </c>
      <c r="C30" s="27" t="n">
        <v>5</v>
      </c>
      <c r="D30" s="27" t="n">
        <v>13</v>
      </c>
      <c r="E30" s="27" t="n">
        <v>34</v>
      </c>
      <c r="F30" s="27" t="n">
        <v>39</v>
      </c>
      <c r="G30" s="27" t="n">
        <v>40</v>
      </c>
      <c r="H30" s="27" t="n">
        <v>11</v>
      </c>
      <c r="J30" s="27">
        <f>SUMPRODUCT(COUNTIFS(확률!$J$2:$J$46, 원본!B30:G30, 확률!$M$2:$M$46, "&lt;=20"))</f>
        <v/>
      </c>
      <c r="K30" s="27">
        <f>SUMPRODUCT(COUNTIFS(확률!$J$2:$J$46, 원본!B30:G30, 확률!$M$2:$M$46, "&gt;=36"))</f>
        <v/>
      </c>
      <c r="L30" s="27">
        <f>6-J30-K30</f>
        <v/>
      </c>
    </row>
    <row r="31" ht="16.5" customHeight="1" s="28">
      <c r="A31" s="31" t="n">
        <v>30</v>
      </c>
      <c r="B31" s="27" t="n">
        <v>8</v>
      </c>
      <c r="C31" s="27" t="n">
        <v>17</v>
      </c>
      <c r="D31" s="27" t="n">
        <v>20</v>
      </c>
      <c r="E31" s="27" t="n">
        <v>35</v>
      </c>
      <c r="F31" s="27" t="n">
        <v>36</v>
      </c>
      <c r="G31" s="27" t="n">
        <v>44</v>
      </c>
      <c r="H31" s="27" t="n">
        <v>4</v>
      </c>
      <c r="J31" s="27">
        <f>SUMPRODUCT(COUNTIFS(확률!$J$2:$J$46, 원본!B31:G31, 확률!$M$2:$M$46, "&lt;=20"))</f>
        <v/>
      </c>
      <c r="K31" s="27">
        <f>SUMPRODUCT(COUNTIFS(확률!$J$2:$J$46, 원본!B31:G31, 확률!$M$2:$M$46, "&gt;=36"))</f>
        <v/>
      </c>
      <c r="L31" s="27">
        <f>6-J31-K31</f>
        <v/>
      </c>
    </row>
    <row r="32" ht="16.5" customHeight="1" s="28">
      <c r="A32" s="31" t="n">
        <v>31</v>
      </c>
      <c r="B32" s="27" t="n">
        <v>7</v>
      </c>
      <c r="C32" s="27" t="n">
        <v>9</v>
      </c>
      <c r="D32" s="27" t="n">
        <v>18</v>
      </c>
      <c r="E32" s="27" t="n">
        <v>23</v>
      </c>
      <c r="F32" s="27" t="n">
        <v>28</v>
      </c>
      <c r="G32" s="27" t="n">
        <v>35</v>
      </c>
      <c r="H32" s="27" t="n">
        <v>32</v>
      </c>
      <c r="J32" s="27">
        <f>SUMPRODUCT(COUNTIFS(확률!$J$2:$J$46, 원본!B32:G32, 확률!$M$2:$M$46, "&lt;=20"))</f>
        <v/>
      </c>
      <c r="K32" s="27">
        <f>SUMPRODUCT(COUNTIFS(확률!$J$2:$J$46, 원본!B32:G32, 확률!$M$2:$M$46, "&gt;=36"))</f>
        <v/>
      </c>
      <c r="L32" s="27">
        <f>6-J32-K32</f>
        <v/>
      </c>
    </row>
    <row r="33" ht="16.5" customHeight="1" s="28">
      <c r="A33" s="31" t="n">
        <v>32</v>
      </c>
      <c r="B33" s="27" t="n">
        <v>6</v>
      </c>
      <c r="C33" s="27" t="n">
        <v>14</v>
      </c>
      <c r="D33" s="27" t="n">
        <v>19</v>
      </c>
      <c r="E33" s="27" t="n">
        <v>25</v>
      </c>
      <c r="F33" s="27" t="n">
        <v>34</v>
      </c>
      <c r="G33" s="27" t="n">
        <v>44</v>
      </c>
      <c r="H33" s="27" t="n">
        <v>11</v>
      </c>
      <c r="J33" s="27">
        <f>SUMPRODUCT(COUNTIFS(확률!$J$2:$J$46, 원본!B33:G33, 확률!$M$2:$M$46, "&lt;=20"))</f>
        <v/>
      </c>
      <c r="K33" s="27">
        <f>SUMPRODUCT(COUNTIFS(확률!$J$2:$J$46, 원본!B33:G33, 확률!$M$2:$M$46, "&gt;=36"))</f>
        <v/>
      </c>
      <c r="L33" s="27">
        <f>6-J33-K33</f>
        <v/>
      </c>
    </row>
    <row r="34" ht="16.5" customHeight="1" s="28">
      <c r="A34" s="31" t="n">
        <v>33</v>
      </c>
      <c r="B34" s="27" t="n">
        <v>4</v>
      </c>
      <c r="C34" s="27" t="n">
        <v>7</v>
      </c>
      <c r="D34" s="27" t="n">
        <v>32</v>
      </c>
      <c r="E34" s="27" t="n">
        <v>33</v>
      </c>
      <c r="F34" s="27" t="n">
        <v>40</v>
      </c>
      <c r="G34" s="27" t="n">
        <v>41</v>
      </c>
      <c r="H34" s="27" t="n">
        <v>9</v>
      </c>
      <c r="J34" s="27">
        <f>SUMPRODUCT(COUNTIFS(확률!$J$2:$J$46, 원본!B34:G34, 확률!$M$2:$M$46, "&lt;=20"))</f>
        <v/>
      </c>
      <c r="K34" s="27">
        <f>SUMPRODUCT(COUNTIFS(확률!$J$2:$J$46, 원본!B34:G34, 확률!$M$2:$M$46, "&gt;=36"))</f>
        <v/>
      </c>
      <c r="L34" s="27">
        <f>6-J34-K34</f>
        <v/>
      </c>
    </row>
    <row r="35" ht="16.5" customHeight="1" s="28">
      <c r="A35" s="31" t="n">
        <v>34</v>
      </c>
      <c r="B35" s="27" t="n">
        <v>9</v>
      </c>
      <c r="C35" s="27" t="n">
        <v>26</v>
      </c>
      <c r="D35" s="27" t="n">
        <v>35</v>
      </c>
      <c r="E35" s="27" t="n">
        <v>37</v>
      </c>
      <c r="F35" s="27" t="n">
        <v>40</v>
      </c>
      <c r="G35" s="27" t="n">
        <v>42</v>
      </c>
      <c r="H35" s="27" t="n">
        <v>2</v>
      </c>
      <c r="J35" s="27">
        <f>SUMPRODUCT(COUNTIFS(확률!$J$2:$J$46, 원본!B35:G35, 확률!$M$2:$M$46, "&lt;=20"))</f>
        <v/>
      </c>
      <c r="K35" s="27">
        <f>SUMPRODUCT(COUNTIFS(확률!$J$2:$J$46, 원본!B35:G35, 확률!$M$2:$M$46, "&gt;=36"))</f>
        <v/>
      </c>
      <c r="L35" s="27">
        <f>6-J35-K35</f>
        <v/>
      </c>
    </row>
    <row r="36" ht="16.5" customHeight="1" s="28">
      <c r="A36" s="31" t="n">
        <v>35</v>
      </c>
      <c r="B36" s="27" t="n">
        <v>2</v>
      </c>
      <c r="C36" s="27" t="n">
        <v>3</v>
      </c>
      <c r="D36" s="27" t="n">
        <v>11</v>
      </c>
      <c r="E36" s="27" t="n">
        <v>26</v>
      </c>
      <c r="F36" s="27" t="n">
        <v>37</v>
      </c>
      <c r="G36" s="27" t="n">
        <v>43</v>
      </c>
      <c r="H36" s="27" t="n">
        <v>39</v>
      </c>
      <c r="J36" s="27">
        <f>SUMPRODUCT(COUNTIFS(확률!$J$2:$J$46, 원본!B36:G36, 확률!$M$2:$M$46, "&lt;=20"))</f>
        <v/>
      </c>
      <c r="K36" s="27">
        <f>SUMPRODUCT(COUNTIFS(확률!$J$2:$J$46, 원본!B36:G36, 확률!$M$2:$M$46, "&gt;=36"))</f>
        <v/>
      </c>
      <c r="L36" s="27">
        <f>6-J36-K36</f>
        <v/>
      </c>
    </row>
    <row r="37" ht="16.5" customHeight="1" s="28">
      <c r="A37" s="31" t="n">
        <v>36</v>
      </c>
      <c r="B37" s="27" t="n">
        <v>1</v>
      </c>
      <c r="C37" s="27" t="n">
        <v>10</v>
      </c>
      <c r="D37" s="27" t="n">
        <v>23</v>
      </c>
      <c r="E37" s="27" t="n">
        <v>26</v>
      </c>
      <c r="F37" s="27" t="n">
        <v>28</v>
      </c>
      <c r="G37" s="27" t="n">
        <v>40</v>
      </c>
      <c r="H37" s="27" t="n">
        <v>31</v>
      </c>
      <c r="J37" s="27">
        <f>SUMPRODUCT(COUNTIFS(확률!$J$2:$J$46, 원본!B37:G37, 확률!$M$2:$M$46, "&lt;=20"))</f>
        <v/>
      </c>
      <c r="K37" s="27">
        <f>SUMPRODUCT(COUNTIFS(확률!$J$2:$J$46, 원본!B37:G37, 확률!$M$2:$M$46, "&gt;=36"))</f>
        <v/>
      </c>
      <c r="L37" s="27">
        <f>6-J37-K37</f>
        <v/>
      </c>
    </row>
    <row r="38" ht="16.5" customHeight="1" s="28">
      <c r="A38" s="31" t="n">
        <v>37</v>
      </c>
      <c r="B38" s="27" t="n">
        <v>7</v>
      </c>
      <c r="C38" s="27" t="n">
        <v>27</v>
      </c>
      <c r="D38" s="27" t="n">
        <v>30</v>
      </c>
      <c r="E38" s="27" t="n">
        <v>33</v>
      </c>
      <c r="F38" s="27" t="n">
        <v>35</v>
      </c>
      <c r="G38" s="27" t="n">
        <v>37</v>
      </c>
      <c r="H38" s="27" t="n">
        <v>42</v>
      </c>
      <c r="J38" s="27">
        <f>SUMPRODUCT(COUNTIFS(확률!$J$2:$J$46, 원본!B38:G38, 확률!$M$2:$M$46, "&lt;=20"))</f>
        <v/>
      </c>
      <c r="K38" s="27">
        <f>SUMPRODUCT(COUNTIFS(확률!$J$2:$J$46, 원본!B38:G38, 확률!$M$2:$M$46, "&gt;=36"))</f>
        <v/>
      </c>
      <c r="L38" s="27">
        <f>6-J38-K38</f>
        <v/>
      </c>
    </row>
    <row r="39" ht="16.5" customHeight="1" s="28">
      <c r="A39" s="31" t="n">
        <v>38</v>
      </c>
      <c r="B39" s="27" t="n">
        <v>16</v>
      </c>
      <c r="C39" s="27" t="n">
        <v>17</v>
      </c>
      <c r="D39" s="27" t="n">
        <v>22</v>
      </c>
      <c r="E39" s="27" t="n">
        <v>30</v>
      </c>
      <c r="F39" s="27" t="n">
        <v>37</v>
      </c>
      <c r="G39" s="27" t="n">
        <v>43</v>
      </c>
      <c r="H39" s="27" t="n">
        <v>36</v>
      </c>
      <c r="J39" s="27">
        <f>SUMPRODUCT(COUNTIFS(확률!$J$2:$J$46, 원본!B39:G39, 확률!$M$2:$M$46, "&lt;=20"))</f>
        <v/>
      </c>
      <c r="K39" s="27">
        <f>SUMPRODUCT(COUNTIFS(확률!$J$2:$J$46, 원본!B39:G39, 확률!$M$2:$M$46, "&gt;=36"))</f>
        <v/>
      </c>
      <c r="L39" s="27">
        <f>6-J39-K39</f>
        <v/>
      </c>
    </row>
    <row r="40" ht="16.5" customHeight="1" s="28">
      <c r="A40" s="31" t="n">
        <v>39</v>
      </c>
      <c r="B40" s="27" t="n">
        <v>6</v>
      </c>
      <c r="C40" s="27" t="n">
        <v>7</v>
      </c>
      <c r="D40" s="27" t="n">
        <v>13</v>
      </c>
      <c r="E40" s="27" t="n">
        <v>15</v>
      </c>
      <c r="F40" s="27" t="n">
        <v>21</v>
      </c>
      <c r="G40" s="27" t="n">
        <v>43</v>
      </c>
      <c r="H40" s="27" t="n">
        <v>8</v>
      </c>
      <c r="J40" s="27">
        <f>SUMPRODUCT(COUNTIFS(확률!$J$2:$J$46, 원본!B40:G40, 확률!$M$2:$M$46, "&lt;=20"))</f>
        <v/>
      </c>
      <c r="K40" s="27">
        <f>SUMPRODUCT(COUNTIFS(확률!$J$2:$J$46, 원본!B40:G40, 확률!$M$2:$M$46, "&gt;=36"))</f>
        <v/>
      </c>
      <c r="L40" s="27">
        <f>6-J40-K40</f>
        <v/>
      </c>
    </row>
    <row r="41" ht="16.5" customHeight="1" s="28">
      <c r="A41" s="31" t="n">
        <v>40</v>
      </c>
      <c r="B41" s="27" t="n">
        <v>7</v>
      </c>
      <c r="C41" s="27" t="n">
        <v>13</v>
      </c>
      <c r="D41" s="27" t="n">
        <v>18</v>
      </c>
      <c r="E41" s="27" t="n">
        <v>19</v>
      </c>
      <c r="F41" s="27" t="n">
        <v>25</v>
      </c>
      <c r="G41" s="27" t="n">
        <v>26</v>
      </c>
      <c r="H41" s="27" t="n">
        <v>6</v>
      </c>
      <c r="J41" s="27">
        <f>SUMPRODUCT(COUNTIFS(확률!$J$2:$J$46, 원본!B41:G41, 확률!$M$2:$M$46, "&lt;=20"))</f>
        <v/>
      </c>
      <c r="K41" s="27">
        <f>SUMPRODUCT(COUNTIFS(확률!$J$2:$J$46, 원본!B41:G41, 확률!$M$2:$M$46, "&gt;=36"))</f>
        <v/>
      </c>
      <c r="L41" s="27">
        <f>6-J41-K41</f>
        <v/>
      </c>
    </row>
    <row r="42" ht="16.5" customHeight="1" s="28">
      <c r="A42" s="31" t="n">
        <v>41</v>
      </c>
      <c r="B42" s="27" t="n">
        <v>13</v>
      </c>
      <c r="C42" s="27" t="n">
        <v>20</v>
      </c>
      <c r="D42" s="27" t="n">
        <v>23</v>
      </c>
      <c r="E42" s="27" t="n">
        <v>35</v>
      </c>
      <c r="F42" s="27" t="n">
        <v>38</v>
      </c>
      <c r="G42" s="27" t="n">
        <v>43</v>
      </c>
      <c r="H42" s="27" t="n">
        <v>34</v>
      </c>
      <c r="J42" s="27">
        <f>SUMPRODUCT(COUNTIFS(확률!$J$2:$J$46, 원본!B42:G42, 확률!$M$2:$M$46, "&lt;=20"))</f>
        <v/>
      </c>
      <c r="K42" s="27">
        <f>SUMPRODUCT(COUNTIFS(확률!$J$2:$J$46, 원본!B42:G42, 확률!$M$2:$M$46, "&gt;=36"))</f>
        <v/>
      </c>
      <c r="L42" s="27">
        <f>6-J42-K42</f>
        <v/>
      </c>
    </row>
    <row r="43" ht="16.5" customHeight="1" s="28">
      <c r="A43" s="31" t="n">
        <v>42</v>
      </c>
      <c r="B43" s="27" t="n">
        <v>17</v>
      </c>
      <c r="C43" s="27" t="n">
        <v>18</v>
      </c>
      <c r="D43" s="27" t="n">
        <v>19</v>
      </c>
      <c r="E43" s="27" t="n">
        <v>21</v>
      </c>
      <c r="F43" s="27" t="n">
        <v>23</v>
      </c>
      <c r="G43" s="27" t="n">
        <v>32</v>
      </c>
      <c r="H43" s="27" t="n">
        <v>1</v>
      </c>
      <c r="J43" s="27">
        <f>SUMPRODUCT(COUNTIFS(확률!$J$2:$J$46, 원본!B43:G43, 확률!$M$2:$M$46, "&lt;=20"))</f>
        <v/>
      </c>
      <c r="K43" s="27">
        <f>SUMPRODUCT(COUNTIFS(확률!$J$2:$J$46, 원본!B43:G43, 확률!$M$2:$M$46, "&gt;=36"))</f>
        <v/>
      </c>
      <c r="L43" s="27">
        <f>6-J43-K43</f>
        <v/>
      </c>
    </row>
    <row r="44" ht="16.5" customHeight="1" s="28">
      <c r="A44" s="31" t="n">
        <v>43</v>
      </c>
      <c r="B44" s="27" t="n">
        <v>6</v>
      </c>
      <c r="C44" s="27" t="n">
        <v>31</v>
      </c>
      <c r="D44" s="27" t="n">
        <v>35</v>
      </c>
      <c r="E44" s="27" t="n">
        <v>38</v>
      </c>
      <c r="F44" s="27" t="n">
        <v>39</v>
      </c>
      <c r="G44" s="27" t="n">
        <v>44</v>
      </c>
      <c r="H44" s="27" t="n">
        <v>1</v>
      </c>
      <c r="J44" s="27">
        <f>SUMPRODUCT(COUNTIFS(확률!$J$2:$J$46, 원본!B44:G44, 확률!$M$2:$M$46, "&lt;=20"))</f>
        <v/>
      </c>
      <c r="K44" s="27">
        <f>SUMPRODUCT(COUNTIFS(확률!$J$2:$J$46, 원본!B44:G44, 확률!$M$2:$M$46, "&gt;=36"))</f>
        <v/>
      </c>
      <c r="L44" s="27">
        <f>6-J44-K44</f>
        <v/>
      </c>
    </row>
    <row r="45" ht="16.5" customHeight="1" s="28">
      <c r="A45" s="31" t="n">
        <v>44</v>
      </c>
      <c r="B45" s="27" t="n">
        <v>3</v>
      </c>
      <c r="C45" s="27" t="n">
        <v>11</v>
      </c>
      <c r="D45" s="27" t="n">
        <v>21</v>
      </c>
      <c r="E45" s="27" t="n">
        <v>30</v>
      </c>
      <c r="F45" s="27" t="n">
        <v>38</v>
      </c>
      <c r="G45" s="27" t="n">
        <v>45</v>
      </c>
      <c r="H45" s="27" t="n">
        <v>39</v>
      </c>
      <c r="J45" s="27">
        <f>SUMPRODUCT(COUNTIFS(확률!$J$2:$J$46, 원본!B45:G45, 확률!$M$2:$M$46, "&lt;=20"))</f>
        <v/>
      </c>
      <c r="K45" s="27">
        <f>SUMPRODUCT(COUNTIFS(확률!$J$2:$J$46, 원본!B45:G45, 확률!$M$2:$M$46, "&gt;=36"))</f>
        <v/>
      </c>
      <c r="L45" s="27">
        <f>6-J45-K45</f>
        <v/>
      </c>
    </row>
    <row r="46" ht="16.5" customHeight="1" s="28">
      <c r="A46" s="31" t="n">
        <v>45</v>
      </c>
      <c r="B46" s="27" t="n">
        <v>1</v>
      </c>
      <c r="C46" s="27" t="n">
        <v>10</v>
      </c>
      <c r="D46" s="27" t="n">
        <v>20</v>
      </c>
      <c r="E46" s="27" t="n">
        <v>27</v>
      </c>
      <c r="F46" s="27" t="n">
        <v>33</v>
      </c>
      <c r="G46" s="27" t="n">
        <v>35</v>
      </c>
      <c r="H46" s="27" t="n">
        <v>17</v>
      </c>
      <c r="J46" s="27">
        <f>SUMPRODUCT(COUNTIFS(확률!$J$2:$J$46, 원본!B46:G46, 확률!$M$2:$M$46, "&lt;=20"))</f>
        <v/>
      </c>
      <c r="K46" s="27">
        <f>SUMPRODUCT(COUNTIFS(확률!$J$2:$J$46, 원본!B46:G46, 확률!$M$2:$M$46, "&gt;=36"))</f>
        <v/>
      </c>
      <c r="L46" s="27">
        <f>6-J46-K46</f>
        <v/>
      </c>
    </row>
    <row r="47" ht="16.5" customHeight="1" s="28">
      <c r="A47" s="31" t="n">
        <v>46</v>
      </c>
      <c r="B47" s="27" t="n">
        <v>8</v>
      </c>
      <c r="C47" s="27" t="n">
        <v>13</v>
      </c>
      <c r="D47" s="27" t="n">
        <v>15</v>
      </c>
      <c r="E47" s="27" t="n">
        <v>23</v>
      </c>
      <c r="F47" s="27" t="n">
        <v>31</v>
      </c>
      <c r="G47" s="27" t="n">
        <v>38</v>
      </c>
      <c r="H47" s="27" t="n">
        <v>39</v>
      </c>
      <c r="J47" s="27">
        <f>SUMPRODUCT(COUNTIFS(확률!$J$2:$J$46, 원본!B47:G47, 확률!$M$2:$M$46, "&lt;=20"))</f>
        <v/>
      </c>
      <c r="K47" s="27">
        <f>SUMPRODUCT(COUNTIFS(확률!$J$2:$J$46, 원본!B47:G47, 확률!$M$2:$M$46, "&gt;=36"))</f>
        <v/>
      </c>
      <c r="L47" s="27">
        <f>6-J47-K47</f>
        <v/>
      </c>
    </row>
    <row r="48" ht="16.4" customHeight="1" s="28">
      <c r="A48" s="31" t="n">
        <v>47</v>
      </c>
      <c r="B48" s="27" t="n">
        <v>14</v>
      </c>
      <c r="C48" s="27" t="n">
        <v>17</v>
      </c>
      <c r="D48" s="27" t="n">
        <v>26</v>
      </c>
      <c r="E48" s="27" t="n">
        <v>31</v>
      </c>
      <c r="F48" s="27" t="n">
        <v>36</v>
      </c>
      <c r="G48" s="27" t="n">
        <v>45</v>
      </c>
      <c r="H48" s="27" t="n">
        <v>27</v>
      </c>
      <c r="J48" s="27">
        <f>SUMPRODUCT(COUNTIFS(확률!$J$2:$J$46, 원본!B48:G48, 확률!$M$2:$M$46, "&lt;=20"))</f>
        <v/>
      </c>
      <c r="K48" s="27">
        <f>SUMPRODUCT(COUNTIFS(확률!$J$2:$J$46, 원본!B48:G48, 확률!$M$2:$M$46, "&gt;=36"))</f>
        <v/>
      </c>
      <c r="L48" s="27">
        <f>6-J48-K48</f>
        <v/>
      </c>
    </row>
    <row r="49" ht="16.5" customHeight="1" s="28">
      <c r="A49" s="31" t="n">
        <v>48</v>
      </c>
      <c r="B49" s="27" t="n">
        <v>6</v>
      </c>
      <c r="C49" s="27" t="n">
        <v>10</v>
      </c>
      <c r="D49" s="27" t="n">
        <v>18</v>
      </c>
      <c r="E49" s="27" t="n">
        <v>26</v>
      </c>
      <c r="F49" s="27" t="n">
        <v>37</v>
      </c>
      <c r="G49" s="27" t="n">
        <v>38</v>
      </c>
      <c r="H49" s="27" t="n">
        <v>3</v>
      </c>
      <c r="J49" s="27">
        <f>SUMPRODUCT(COUNTIFS(확률!$J$2:$J$46, 원본!B49:G49, 확률!$M$2:$M$46, "&lt;=20"))</f>
        <v/>
      </c>
      <c r="K49" s="27">
        <f>SUMPRODUCT(COUNTIFS(확률!$J$2:$J$46, 원본!B49:G49, 확률!$M$2:$M$46, "&gt;=36"))</f>
        <v/>
      </c>
      <c r="L49" s="27">
        <f>6-J49-K49</f>
        <v/>
      </c>
    </row>
    <row r="50" ht="16.5" customHeight="1" s="28">
      <c r="A50" s="31" t="n">
        <v>49</v>
      </c>
      <c r="B50" s="27" t="n">
        <v>4</v>
      </c>
      <c r="C50" s="27" t="n">
        <v>7</v>
      </c>
      <c r="D50" s="27" t="n">
        <v>16</v>
      </c>
      <c r="E50" s="27" t="n">
        <v>19</v>
      </c>
      <c r="F50" s="27" t="n">
        <v>33</v>
      </c>
      <c r="G50" s="27" t="n">
        <v>40</v>
      </c>
      <c r="H50" s="27" t="n">
        <v>30</v>
      </c>
      <c r="J50" s="27">
        <f>SUMPRODUCT(COUNTIFS(확률!$J$2:$J$46, 원본!B50:G50, 확률!$M$2:$M$46, "&lt;=20"))</f>
        <v/>
      </c>
      <c r="K50" s="27">
        <f>SUMPRODUCT(COUNTIFS(확률!$J$2:$J$46, 원본!B50:G50, 확률!$M$2:$M$46, "&gt;=36"))</f>
        <v/>
      </c>
      <c r="L50" s="27">
        <f>6-J50-K50</f>
        <v/>
      </c>
    </row>
    <row r="51" ht="16.5" customHeight="1" s="28">
      <c r="A51" s="31" t="n">
        <v>50</v>
      </c>
      <c r="B51" s="27" t="n">
        <v>2</v>
      </c>
      <c r="C51" s="27" t="n">
        <v>10</v>
      </c>
      <c r="D51" s="27" t="n">
        <v>12</v>
      </c>
      <c r="E51" s="27" t="n">
        <v>15</v>
      </c>
      <c r="F51" s="27" t="n">
        <v>22</v>
      </c>
      <c r="G51" s="27" t="n">
        <v>44</v>
      </c>
      <c r="H51" s="27" t="n">
        <v>1</v>
      </c>
      <c r="J51" s="27">
        <f>SUMPRODUCT(COUNTIFS(확률!$J$2:$J$46, 원본!B51:G51, 확률!$M$2:$M$46, "&lt;=20"))</f>
        <v/>
      </c>
      <c r="K51" s="27">
        <f>SUMPRODUCT(COUNTIFS(확률!$J$2:$J$46, 원본!B51:G51, 확률!$M$2:$M$46, "&gt;=36"))</f>
        <v/>
      </c>
      <c r="L51" s="27">
        <f>6-J51-K51</f>
        <v/>
      </c>
    </row>
    <row r="52" ht="16.5" customHeight="1" s="28">
      <c r="A52" s="31" t="n">
        <v>51</v>
      </c>
      <c r="B52" s="27" t="n">
        <v>2</v>
      </c>
      <c r="C52" s="27" t="n">
        <v>3</v>
      </c>
      <c r="D52" s="27" t="n">
        <v>11</v>
      </c>
      <c r="E52" s="27" t="n">
        <v>16</v>
      </c>
      <c r="F52" s="27" t="n">
        <v>26</v>
      </c>
      <c r="G52" s="27" t="n">
        <v>44</v>
      </c>
      <c r="H52" s="27" t="n">
        <v>35</v>
      </c>
      <c r="J52" s="27">
        <f>SUMPRODUCT(COUNTIFS(확률!$J$2:$J$46, 원본!B52:G52, 확률!$M$2:$M$46, "&lt;=20"))</f>
        <v/>
      </c>
      <c r="K52" s="27">
        <f>SUMPRODUCT(COUNTIFS(확률!$J$2:$J$46, 원본!B52:G52, 확률!$M$2:$M$46, "&gt;=36"))</f>
        <v/>
      </c>
      <c r="L52" s="27">
        <f>6-J52-K52</f>
        <v/>
      </c>
    </row>
    <row r="53" ht="16.5" customHeight="1" s="28">
      <c r="A53" s="31" t="n">
        <v>52</v>
      </c>
      <c r="B53" s="27" t="n">
        <v>2</v>
      </c>
      <c r="C53" s="27" t="n">
        <v>4</v>
      </c>
      <c r="D53" s="27" t="n">
        <v>15</v>
      </c>
      <c r="E53" s="27" t="n">
        <v>16</v>
      </c>
      <c r="F53" s="27" t="n">
        <v>20</v>
      </c>
      <c r="G53" s="27" t="n">
        <v>29</v>
      </c>
      <c r="H53" s="27" t="n">
        <v>1</v>
      </c>
      <c r="J53" s="27">
        <f>SUMPRODUCT(COUNTIFS(확률!$J$2:$J$46, 원본!B53:G53, 확률!$M$2:$M$46, "&lt;=20"))</f>
        <v/>
      </c>
      <c r="K53" s="27">
        <f>SUMPRODUCT(COUNTIFS(확률!$J$2:$J$46, 원본!B53:G53, 확률!$M$2:$M$46, "&gt;=36"))</f>
        <v/>
      </c>
      <c r="L53" s="27">
        <f>6-J53-K53</f>
        <v/>
      </c>
    </row>
    <row r="54" ht="16.5" customHeight="1" s="28">
      <c r="A54" s="31" t="n">
        <v>53</v>
      </c>
      <c r="B54" s="27" t="n">
        <v>7</v>
      </c>
      <c r="C54" s="27" t="n">
        <v>8</v>
      </c>
      <c r="D54" s="27" t="n">
        <v>14</v>
      </c>
      <c r="E54" s="27" t="n">
        <v>32</v>
      </c>
      <c r="F54" s="27" t="n">
        <v>33</v>
      </c>
      <c r="G54" s="27" t="n">
        <v>39</v>
      </c>
      <c r="H54" s="27" t="n">
        <v>42</v>
      </c>
      <c r="J54" s="27">
        <f>SUMPRODUCT(COUNTIFS(확률!$J$2:$J$46, 원본!B54:G54, 확률!$M$2:$M$46, "&lt;=20"))</f>
        <v/>
      </c>
      <c r="K54" s="27">
        <f>SUMPRODUCT(COUNTIFS(확률!$J$2:$J$46, 원본!B54:G54, 확률!$M$2:$M$46, "&gt;=36"))</f>
        <v/>
      </c>
      <c r="L54" s="27">
        <f>6-J54-K54</f>
        <v/>
      </c>
    </row>
    <row r="55" ht="16.5" customHeight="1" s="28">
      <c r="A55" s="31" t="n">
        <v>54</v>
      </c>
      <c r="B55" s="27" t="n">
        <v>1</v>
      </c>
      <c r="C55" s="27" t="n">
        <v>8</v>
      </c>
      <c r="D55" s="27" t="n">
        <v>21</v>
      </c>
      <c r="E55" s="27" t="n">
        <v>27</v>
      </c>
      <c r="F55" s="27" t="n">
        <v>36</v>
      </c>
      <c r="G55" s="27" t="n">
        <v>39</v>
      </c>
      <c r="H55" s="27" t="n">
        <v>37</v>
      </c>
      <c r="J55" s="27">
        <f>SUMPRODUCT(COUNTIFS(확률!$J$2:$J$46, 원본!B55:G55, 확률!$M$2:$M$46, "&lt;=20"))</f>
        <v/>
      </c>
      <c r="K55" s="27">
        <f>SUMPRODUCT(COUNTIFS(확률!$J$2:$J$46, 원본!B55:G55, 확률!$M$2:$M$46, "&gt;=36"))</f>
        <v/>
      </c>
      <c r="L55" s="27">
        <f>6-J55-K55</f>
        <v/>
      </c>
    </row>
    <row r="56" ht="16.5" customHeight="1" s="28">
      <c r="A56" s="31" t="n">
        <v>55</v>
      </c>
      <c r="B56" s="27" t="n">
        <v>17</v>
      </c>
      <c r="C56" s="27" t="n">
        <v>21</v>
      </c>
      <c r="D56" s="27" t="n">
        <v>31</v>
      </c>
      <c r="E56" s="27" t="n">
        <v>37</v>
      </c>
      <c r="F56" s="27" t="n">
        <v>40</v>
      </c>
      <c r="G56" s="27" t="n">
        <v>44</v>
      </c>
      <c r="H56" s="27" t="n">
        <v>7</v>
      </c>
      <c r="J56" s="27">
        <f>SUMPRODUCT(COUNTIFS(확률!$J$2:$J$46, 원본!B56:G56, 확률!$M$2:$M$46, "&lt;=20"))</f>
        <v/>
      </c>
      <c r="K56" s="27">
        <f>SUMPRODUCT(COUNTIFS(확률!$J$2:$J$46, 원본!B56:G56, 확률!$M$2:$M$46, "&gt;=36"))</f>
        <v/>
      </c>
      <c r="L56" s="27">
        <f>6-J56-K56</f>
        <v/>
      </c>
    </row>
    <row r="57" ht="16.5" customHeight="1" s="28">
      <c r="A57" s="31" t="n">
        <v>56</v>
      </c>
      <c r="B57" s="27" t="n">
        <v>10</v>
      </c>
      <c r="C57" s="27" t="n">
        <v>14</v>
      </c>
      <c r="D57" s="27" t="n">
        <v>30</v>
      </c>
      <c r="E57" s="27" t="n">
        <v>31</v>
      </c>
      <c r="F57" s="27" t="n">
        <v>33</v>
      </c>
      <c r="G57" s="27" t="n">
        <v>37</v>
      </c>
      <c r="H57" s="27" t="n">
        <v>19</v>
      </c>
      <c r="J57" s="27">
        <f>SUMPRODUCT(COUNTIFS(확률!$J$2:$J$46, 원본!B57:G57, 확률!$M$2:$M$46, "&lt;=20"))</f>
        <v/>
      </c>
      <c r="K57" s="27">
        <f>SUMPRODUCT(COUNTIFS(확률!$J$2:$J$46, 원본!B57:G57, 확률!$M$2:$M$46, "&gt;=36"))</f>
        <v/>
      </c>
      <c r="L57" s="27">
        <f>6-J57-K57</f>
        <v/>
      </c>
    </row>
    <row r="58" ht="16.5" customHeight="1" s="28">
      <c r="A58" s="31" t="n">
        <v>57</v>
      </c>
      <c r="B58" s="27" t="n">
        <v>7</v>
      </c>
      <c r="C58" s="27" t="n">
        <v>10</v>
      </c>
      <c r="D58" s="27" t="n">
        <v>16</v>
      </c>
      <c r="E58" s="27" t="n">
        <v>25</v>
      </c>
      <c r="F58" s="27" t="n">
        <v>29</v>
      </c>
      <c r="G58" s="27" t="n">
        <v>44</v>
      </c>
      <c r="H58" s="27" t="n">
        <v>6</v>
      </c>
      <c r="J58" s="27">
        <f>SUMPRODUCT(COUNTIFS(확률!$J$2:$J$46, 원본!B58:G58, 확률!$M$2:$M$46, "&lt;=20"))</f>
        <v/>
      </c>
      <c r="K58" s="27">
        <f>SUMPRODUCT(COUNTIFS(확률!$J$2:$J$46, 원본!B58:G58, 확률!$M$2:$M$46, "&gt;=36"))</f>
        <v/>
      </c>
      <c r="L58" s="27">
        <f>6-J58-K58</f>
        <v/>
      </c>
    </row>
    <row r="59" ht="16.5" customHeight="1" s="28">
      <c r="A59" s="31" t="n">
        <v>58</v>
      </c>
      <c r="B59" s="27" t="n">
        <v>10</v>
      </c>
      <c r="C59" s="27" t="n">
        <v>24</v>
      </c>
      <c r="D59" s="27" t="n">
        <v>25</v>
      </c>
      <c r="E59" s="27" t="n">
        <v>33</v>
      </c>
      <c r="F59" s="27" t="n">
        <v>40</v>
      </c>
      <c r="G59" s="27" t="n">
        <v>44</v>
      </c>
      <c r="H59" s="27" t="n">
        <v>1</v>
      </c>
      <c r="J59" s="27">
        <f>SUMPRODUCT(COUNTIFS(확률!$J$2:$J$46, 원본!B59:G59, 확률!$M$2:$M$46, "&lt;=20"))</f>
        <v/>
      </c>
      <c r="K59" s="27">
        <f>SUMPRODUCT(COUNTIFS(확률!$J$2:$J$46, 원본!B59:G59, 확률!$M$2:$M$46, "&gt;=36"))</f>
        <v/>
      </c>
      <c r="L59" s="27">
        <f>6-J59-K59</f>
        <v/>
      </c>
    </row>
    <row r="60" ht="16.5" customHeight="1" s="28">
      <c r="A60" s="31" t="n">
        <v>59</v>
      </c>
      <c r="B60" s="27" t="n">
        <v>6</v>
      </c>
      <c r="C60" s="27" t="n">
        <v>29</v>
      </c>
      <c r="D60" s="27" t="n">
        <v>36</v>
      </c>
      <c r="E60" s="27" t="n">
        <v>39</v>
      </c>
      <c r="F60" s="27" t="n">
        <v>41</v>
      </c>
      <c r="G60" s="27" t="n">
        <v>45</v>
      </c>
      <c r="H60" s="27" t="n">
        <v>13</v>
      </c>
      <c r="J60" s="27">
        <f>SUMPRODUCT(COUNTIFS(확률!$J$2:$J$46, 원본!B60:G60, 확률!$M$2:$M$46, "&lt;=20"))</f>
        <v/>
      </c>
      <c r="K60" s="27">
        <f>SUMPRODUCT(COUNTIFS(확률!$J$2:$J$46, 원본!B60:G60, 확률!$M$2:$M$46, "&gt;=36"))</f>
        <v/>
      </c>
      <c r="L60" s="27">
        <f>6-J60-K60</f>
        <v/>
      </c>
    </row>
    <row r="61" ht="16.5" customHeight="1" s="28">
      <c r="A61" s="31" t="n">
        <v>60</v>
      </c>
      <c r="B61" s="27" t="n">
        <v>2</v>
      </c>
      <c r="C61" s="27" t="n">
        <v>8</v>
      </c>
      <c r="D61" s="27" t="n">
        <v>25</v>
      </c>
      <c r="E61" s="27" t="n">
        <v>36</v>
      </c>
      <c r="F61" s="27" t="n">
        <v>39</v>
      </c>
      <c r="G61" s="27" t="n">
        <v>42</v>
      </c>
      <c r="H61" s="27" t="n">
        <v>11</v>
      </c>
      <c r="J61" s="27">
        <f>SUMPRODUCT(COUNTIFS(확률!$J$2:$J$46, 원본!B61:G61, 확률!$M$2:$M$46, "&lt;=20"))</f>
        <v/>
      </c>
      <c r="K61" s="27">
        <f>SUMPRODUCT(COUNTIFS(확률!$J$2:$J$46, 원본!B61:G61, 확률!$M$2:$M$46, "&gt;=36"))</f>
        <v/>
      </c>
      <c r="L61" s="27">
        <f>6-J61-K61</f>
        <v/>
      </c>
    </row>
    <row r="62" ht="16.5" customHeight="1" s="28">
      <c r="A62" s="31" t="n">
        <v>61</v>
      </c>
      <c r="B62" s="27" t="n">
        <v>14</v>
      </c>
      <c r="C62" s="27" t="n">
        <v>15</v>
      </c>
      <c r="D62" s="27" t="n">
        <v>19</v>
      </c>
      <c r="E62" s="27" t="n">
        <v>30</v>
      </c>
      <c r="F62" s="27" t="n">
        <v>38</v>
      </c>
      <c r="G62" s="27" t="n">
        <v>43</v>
      </c>
      <c r="H62" s="27" t="n">
        <v>8</v>
      </c>
      <c r="J62" s="27">
        <f>SUMPRODUCT(COUNTIFS(확률!$J$2:$J$46, 원본!B62:G62, 확률!$M$2:$M$46, "&lt;=20"))</f>
        <v/>
      </c>
      <c r="K62" s="27">
        <f>SUMPRODUCT(COUNTIFS(확률!$J$2:$J$46, 원본!B62:G62, 확률!$M$2:$M$46, "&gt;=36"))</f>
        <v/>
      </c>
      <c r="L62" s="27">
        <f>6-J62-K62</f>
        <v/>
      </c>
    </row>
    <row r="63" ht="16.5" customHeight="1" s="28">
      <c r="A63" s="31" t="n">
        <v>62</v>
      </c>
      <c r="B63" s="27" t="n">
        <v>3</v>
      </c>
      <c r="C63" s="27" t="n">
        <v>8</v>
      </c>
      <c r="D63" s="27" t="n">
        <v>15</v>
      </c>
      <c r="E63" s="27" t="n">
        <v>27</v>
      </c>
      <c r="F63" s="27" t="n">
        <v>29</v>
      </c>
      <c r="G63" s="27" t="n">
        <v>35</v>
      </c>
      <c r="H63" s="27" t="n">
        <v>21</v>
      </c>
      <c r="J63" s="27">
        <f>SUMPRODUCT(COUNTIFS(확률!$J$2:$J$46, 원본!B63:G63, 확률!$M$2:$M$46, "&lt;=20"))</f>
        <v/>
      </c>
      <c r="K63" s="27">
        <f>SUMPRODUCT(COUNTIFS(확률!$J$2:$J$46, 원본!B63:G63, 확률!$M$2:$M$46, "&gt;=36"))</f>
        <v/>
      </c>
      <c r="L63" s="27">
        <f>6-J63-K63</f>
        <v/>
      </c>
    </row>
    <row r="64" ht="16.5" customHeight="1" s="28">
      <c r="A64" s="31" t="n">
        <v>63</v>
      </c>
      <c r="B64" s="27" t="n">
        <v>3</v>
      </c>
      <c r="C64" s="27" t="n">
        <v>20</v>
      </c>
      <c r="D64" s="27" t="n">
        <v>23</v>
      </c>
      <c r="E64" s="27" t="n">
        <v>36</v>
      </c>
      <c r="F64" s="27" t="n">
        <v>38</v>
      </c>
      <c r="G64" s="27" t="n">
        <v>40</v>
      </c>
      <c r="H64" s="27" t="n">
        <v>5</v>
      </c>
      <c r="J64" s="27">
        <f>SUMPRODUCT(COUNTIFS(확률!$J$2:$J$46, 원본!B64:G64, 확률!$M$2:$M$46, "&lt;=20"))</f>
        <v/>
      </c>
      <c r="K64" s="27">
        <f>SUMPRODUCT(COUNTIFS(확률!$J$2:$J$46, 원본!B64:G64, 확률!$M$2:$M$46, "&gt;=36"))</f>
        <v/>
      </c>
      <c r="L64" s="27">
        <f>6-J64-K64</f>
        <v/>
      </c>
    </row>
    <row r="65" ht="16.5" customHeight="1" s="28">
      <c r="A65" s="31" t="n">
        <v>64</v>
      </c>
      <c r="B65" s="27" t="n">
        <v>14</v>
      </c>
      <c r="C65" s="27" t="n">
        <v>15</v>
      </c>
      <c r="D65" s="27" t="n">
        <v>18</v>
      </c>
      <c r="E65" s="27" t="n">
        <v>21</v>
      </c>
      <c r="F65" s="27" t="n">
        <v>26</v>
      </c>
      <c r="G65" s="27" t="n">
        <v>36</v>
      </c>
      <c r="H65" s="27" t="n">
        <v>39</v>
      </c>
      <c r="J65" s="27">
        <f>SUMPRODUCT(COUNTIFS(확률!$J$2:$J$46, 원본!B65:G65, 확률!$M$2:$M$46, "&lt;=20"))</f>
        <v/>
      </c>
      <c r="K65" s="27">
        <f>SUMPRODUCT(COUNTIFS(확률!$J$2:$J$46, 원본!B65:G65, 확률!$M$2:$M$46, "&gt;=36"))</f>
        <v/>
      </c>
      <c r="L65" s="27">
        <f>6-J65-K65</f>
        <v/>
      </c>
    </row>
    <row r="66" ht="16.5" customHeight="1" s="28">
      <c r="A66" s="31" t="n">
        <v>65</v>
      </c>
      <c r="B66" s="27" t="n">
        <v>4</v>
      </c>
      <c r="C66" s="27" t="n">
        <v>25</v>
      </c>
      <c r="D66" s="27" t="n">
        <v>33</v>
      </c>
      <c r="E66" s="27" t="n">
        <v>36</v>
      </c>
      <c r="F66" s="27" t="n">
        <v>40</v>
      </c>
      <c r="G66" s="27" t="n">
        <v>43</v>
      </c>
      <c r="H66" s="27" t="n">
        <v>39</v>
      </c>
      <c r="J66" s="27">
        <f>SUMPRODUCT(COUNTIFS(확률!$J$2:$J$46, 원본!B66:G66, 확률!$M$2:$M$46, "&lt;=20"))</f>
        <v/>
      </c>
      <c r="K66" s="27">
        <f>SUMPRODUCT(COUNTIFS(확률!$J$2:$J$46, 원본!B66:G66, 확률!$M$2:$M$46, "&gt;=36"))</f>
        <v/>
      </c>
      <c r="L66" s="27">
        <f>6-J66-K66</f>
        <v/>
      </c>
    </row>
    <row r="67" ht="16.5" customHeight="1" s="28">
      <c r="A67" s="31" t="n">
        <v>66</v>
      </c>
      <c r="B67" s="27" t="n">
        <v>2</v>
      </c>
      <c r="C67" s="27" t="n">
        <v>3</v>
      </c>
      <c r="D67" s="27" t="n">
        <v>7</v>
      </c>
      <c r="E67" s="27" t="n">
        <v>17</v>
      </c>
      <c r="F67" s="27" t="n">
        <v>22</v>
      </c>
      <c r="G67" s="27" t="n">
        <v>24</v>
      </c>
      <c r="H67" s="27" t="n">
        <v>45</v>
      </c>
      <c r="J67" s="27">
        <f>SUMPRODUCT(COUNTIFS(확률!$J$2:$J$46, 원본!B67:G67, 확률!$M$2:$M$46, "&lt;=20"))</f>
        <v/>
      </c>
      <c r="K67" s="27">
        <f>SUMPRODUCT(COUNTIFS(확률!$J$2:$J$46, 원본!B67:G67, 확률!$M$2:$M$46, "&gt;=36"))</f>
        <v/>
      </c>
      <c r="L67" s="27">
        <f>6-J67-K67</f>
        <v/>
      </c>
    </row>
    <row r="68" ht="16.5" customHeight="1" s="28">
      <c r="A68" s="31" t="n">
        <v>67</v>
      </c>
      <c r="B68" s="27" t="n">
        <v>3</v>
      </c>
      <c r="C68" s="27" t="n">
        <v>7</v>
      </c>
      <c r="D68" s="27" t="n">
        <v>10</v>
      </c>
      <c r="E68" s="27" t="n">
        <v>15</v>
      </c>
      <c r="F68" s="27" t="n">
        <v>36</v>
      </c>
      <c r="G68" s="27" t="n">
        <v>38</v>
      </c>
      <c r="H68" s="27" t="n">
        <v>33</v>
      </c>
      <c r="J68" s="27">
        <f>SUMPRODUCT(COUNTIFS(확률!$J$2:$J$46, 원본!B68:G68, 확률!$M$2:$M$46, "&lt;=20"))</f>
        <v/>
      </c>
      <c r="K68" s="27">
        <f>SUMPRODUCT(COUNTIFS(확률!$J$2:$J$46, 원본!B68:G68, 확률!$M$2:$M$46, "&gt;=36"))</f>
        <v/>
      </c>
      <c r="L68" s="27">
        <f>6-J68-K68</f>
        <v/>
      </c>
    </row>
    <row r="69" ht="16.5" customHeight="1" s="28">
      <c r="A69" s="31" t="n">
        <v>68</v>
      </c>
      <c r="B69" s="27" t="n">
        <v>10</v>
      </c>
      <c r="C69" s="27" t="n">
        <v>12</v>
      </c>
      <c r="D69" s="27" t="n">
        <v>15</v>
      </c>
      <c r="E69" s="27" t="n">
        <v>16</v>
      </c>
      <c r="F69" s="27" t="n">
        <v>26</v>
      </c>
      <c r="G69" s="27" t="n">
        <v>39</v>
      </c>
      <c r="H69" s="27" t="n">
        <v>38</v>
      </c>
      <c r="J69" s="27">
        <f>SUMPRODUCT(COUNTIFS(확률!$J$2:$J$46, 원본!B69:G69, 확률!$M$2:$M$46, "&lt;=20"))</f>
        <v/>
      </c>
      <c r="K69" s="27">
        <f>SUMPRODUCT(COUNTIFS(확률!$J$2:$J$46, 원본!B69:G69, 확률!$M$2:$M$46, "&gt;=36"))</f>
        <v/>
      </c>
      <c r="L69" s="27">
        <f>6-J69-K69</f>
        <v/>
      </c>
    </row>
    <row r="70" ht="16.5" customHeight="1" s="28">
      <c r="A70" s="31" t="n">
        <v>69</v>
      </c>
      <c r="B70" s="27" t="n">
        <v>5</v>
      </c>
      <c r="C70" s="27" t="n">
        <v>8</v>
      </c>
      <c r="D70" s="27" t="n">
        <v>14</v>
      </c>
      <c r="E70" s="27" t="n">
        <v>15</v>
      </c>
      <c r="F70" s="27" t="n">
        <v>19</v>
      </c>
      <c r="G70" s="27" t="n">
        <v>39</v>
      </c>
      <c r="H70" s="27" t="n">
        <v>35</v>
      </c>
      <c r="J70" s="27">
        <f>SUMPRODUCT(COUNTIFS(확률!$J$2:$J$46, 원본!B70:G70, 확률!$M$2:$M$46, "&lt;=20"))</f>
        <v/>
      </c>
      <c r="K70" s="27">
        <f>SUMPRODUCT(COUNTIFS(확률!$J$2:$J$46, 원본!B70:G70, 확률!$M$2:$M$46, "&gt;=36"))</f>
        <v/>
      </c>
      <c r="L70" s="27">
        <f>6-J70-K70</f>
        <v/>
      </c>
    </row>
    <row r="71" ht="16.5" customHeight="1" s="28">
      <c r="A71" s="31" t="n">
        <v>70</v>
      </c>
      <c r="B71" s="27" t="n">
        <v>5</v>
      </c>
      <c r="C71" s="27" t="n">
        <v>19</v>
      </c>
      <c r="D71" s="27" t="n">
        <v>22</v>
      </c>
      <c r="E71" s="27" t="n">
        <v>25</v>
      </c>
      <c r="F71" s="27" t="n">
        <v>28</v>
      </c>
      <c r="G71" s="27" t="n">
        <v>43</v>
      </c>
      <c r="H71" s="27" t="n">
        <v>26</v>
      </c>
      <c r="J71" s="27">
        <f>SUMPRODUCT(COUNTIFS(확률!$J$2:$J$46, 원본!B71:G71, 확률!$M$2:$M$46, "&lt;=20"))</f>
        <v/>
      </c>
      <c r="K71" s="27">
        <f>SUMPRODUCT(COUNTIFS(확률!$J$2:$J$46, 원본!B71:G71, 확률!$M$2:$M$46, "&gt;=36"))</f>
        <v/>
      </c>
      <c r="L71" s="27">
        <f>6-J71-K71</f>
        <v/>
      </c>
    </row>
    <row r="72" ht="16.5" customHeight="1" s="28">
      <c r="A72" s="31" t="n">
        <v>71</v>
      </c>
      <c r="B72" s="27" t="n">
        <v>5</v>
      </c>
      <c r="C72" s="27" t="n">
        <v>9</v>
      </c>
      <c r="D72" s="27" t="n">
        <v>12</v>
      </c>
      <c r="E72" s="27" t="n">
        <v>16</v>
      </c>
      <c r="F72" s="27" t="n">
        <v>29</v>
      </c>
      <c r="G72" s="27" t="n">
        <v>41</v>
      </c>
      <c r="H72" s="27" t="n">
        <v>21</v>
      </c>
      <c r="J72" s="27">
        <f>SUMPRODUCT(COUNTIFS(확률!$J$2:$J$46, 원본!B72:G72, 확률!$M$2:$M$46, "&lt;=20"))</f>
        <v/>
      </c>
      <c r="K72" s="27">
        <f>SUMPRODUCT(COUNTIFS(확률!$J$2:$J$46, 원본!B72:G72, 확률!$M$2:$M$46, "&gt;=36"))</f>
        <v/>
      </c>
      <c r="L72" s="27">
        <f>6-J72-K72</f>
        <v/>
      </c>
    </row>
    <row r="73" ht="16.5" customHeight="1" s="28">
      <c r="A73" s="31" t="n">
        <v>72</v>
      </c>
      <c r="B73" s="27" t="n">
        <v>2</v>
      </c>
      <c r="C73" s="27" t="n">
        <v>4</v>
      </c>
      <c r="D73" s="27" t="n">
        <v>11</v>
      </c>
      <c r="E73" s="27" t="n">
        <v>17</v>
      </c>
      <c r="F73" s="27" t="n">
        <v>26</v>
      </c>
      <c r="G73" s="27" t="n">
        <v>27</v>
      </c>
      <c r="H73" s="27" t="n">
        <v>1</v>
      </c>
      <c r="J73" s="27">
        <f>SUMPRODUCT(COUNTIFS(확률!$J$2:$J$46, 원본!B73:G73, 확률!$M$2:$M$46, "&lt;=20"))</f>
        <v/>
      </c>
      <c r="K73" s="27">
        <f>SUMPRODUCT(COUNTIFS(확률!$J$2:$J$46, 원본!B73:G73, 확률!$M$2:$M$46, "&gt;=36"))</f>
        <v/>
      </c>
      <c r="L73" s="27">
        <f>6-J73-K73</f>
        <v/>
      </c>
    </row>
    <row r="74" ht="16.5" customHeight="1" s="28">
      <c r="A74" s="31" t="n">
        <v>73</v>
      </c>
      <c r="B74" s="27" t="n">
        <v>3</v>
      </c>
      <c r="C74" s="27" t="n">
        <v>12</v>
      </c>
      <c r="D74" s="27" t="n">
        <v>18</v>
      </c>
      <c r="E74" s="27" t="n">
        <v>32</v>
      </c>
      <c r="F74" s="27" t="n">
        <v>40</v>
      </c>
      <c r="G74" s="27" t="n">
        <v>43</v>
      </c>
      <c r="H74" s="27" t="n">
        <v>38</v>
      </c>
      <c r="J74" s="27">
        <f>SUMPRODUCT(COUNTIFS(확률!$J$2:$J$46, 원본!B74:G74, 확률!$M$2:$M$46, "&lt;=20"))</f>
        <v/>
      </c>
      <c r="K74" s="27">
        <f>SUMPRODUCT(COUNTIFS(확률!$J$2:$J$46, 원본!B74:G74, 확률!$M$2:$M$46, "&gt;=36"))</f>
        <v/>
      </c>
      <c r="L74" s="27">
        <f>6-J74-K74</f>
        <v/>
      </c>
    </row>
    <row r="75" ht="16.5" customHeight="1" s="28">
      <c r="A75" s="31" t="n">
        <v>74</v>
      </c>
      <c r="B75" s="27" t="n">
        <v>6</v>
      </c>
      <c r="C75" s="27" t="n">
        <v>15</v>
      </c>
      <c r="D75" s="27" t="n">
        <v>17</v>
      </c>
      <c r="E75" s="27" t="n">
        <v>18</v>
      </c>
      <c r="F75" s="27" t="n">
        <v>35</v>
      </c>
      <c r="G75" s="27" t="n">
        <v>40</v>
      </c>
      <c r="H75" s="27" t="n">
        <v>23</v>
      </c>
      <c r="J75" s="27">
        <f>SUMPRODUCT(COUNTIFS(확률!$J$2:$J$46, 원본!B75:G75, 확률!$M$2:$M$46, "&lt;=20"))</f>
        <v/>
      </c>
      <c r="K75" s="27">
        <f>SUMPRODUCT(COUNTIFS(확률!$J$2:$J$46, 원본!B75:G75, 확률!$M$2:$M$46, "&gt;=36"))</f>
        <v/>
      </c>
      <c r="L75" s="27">
        <f>6-J75-K75</f>
        <v/>
      </c>
    </row>
    <row r="76" ht="16.5" customHeight="1" s="28">
      <c r="A76" s="31" t="n">
        <v>75</v>
      </c>
      <c r="B76" s="27" t="n">
        <v>2</v>
      </c>
      <c r="C76" s="27" t="n">
        <v>5</v>
      </c>
      <c r="D76" s="27" t="n">
        <v>24</v>
      </c>
      <c r="E76" s="27" t="n">
        <v>32</v>
      </c>
      <c r="F76" s="27" t="n">
        <v>34</v>
      </c>
      <c r="G76" s="27" t="n">
        <v>44</v>
      </c>
      <c r="H76" s="27" t="n">
        <v>28</v>
      </c>
      <c r="J76" s="27">
        <f>SUMPRODUCT(COUNTIFS(확률!$J$2:$J$46, 원본!B76:G76, 확률!$M$2:$M$46, "&lt;=20"))</f>
        <v/>
      </c>
      <c r="K76" s="27">
        <f>SUMPRODUCT(COUNTIFS(확률!$J$2:$J$46, 원본!B76:G76, 확률!$M$2:$M$46, "&gt;=36"))</f>
        <v/>
      </c>
      <c r="L76" s="27">
        <f>6-J76-K76</f>
        <v/>
      </c>
    </row>
    <row r="77" ht="16.5" customHeight="1" s="28">
      <c r="A77" s="31" t="n">
        <v>76</v>
      </c>
      <c r="B77" s="27" t="n">
        <v>1</v>
      </c>
      <c r="C77" s="27" t="n">
        <v>3</v>
      </c>
      <c r="D77" s="27" t="n">
        <v>15</v>
      </c>
      <c r="E77" s="27" t="n">
        <v>22</v>
      </c>
      <c r="F77" s="27" t="n">
        <v>25</v>
      </c>
      <c r="G77" s="27" t="n">
        <v>37</v>
      </c>
      <c r="H77" s="27" t="n">
        <v>43</v>
      </c>
      <c r="J77" s="27">
        <f>SUMPRODUCT(COUNTIFS(확률!$J$2:$J$46, 원본!B77:G77, 확률!$M$2:$M$46, "&lt;=20"))</f>
        <v/>
      </c>
      <c r="K77" s="27">
        <f>SUMPRODUCT(COUNTIFS(확률!$J$2:$J$46, 원본!B77:G77, 확률!$M$2:$M$46, "&gt;=36"))</f>
        <v/>
      </c>
      <c r="L77" s="27">
        <f>6-J77-K77</f>
        <v/>
      </c>
    </row>
    <row r="78" ht="16.5" customHeight="1" s="28">
      <c r="A78" s="31" t="n">
        <v>77</v>
      </c>
      <c r="B78" s="27" t="n">
        <v>2</v>
      </c>
      <c r="C78" s="27" t="n">
        <v>18</v>
      </c>
      <c r="D78" s="27" t="n">
        <v>29</v>
      </c>
      <c r="E78" s="27" t="n">
        <v>32</v>
      </c>
      <c r="F78" s="27" t="n">
        <v>43</v>
      </c>
      <c r="G78" s="27" t="n">
        <v>44</v>
      </c>
      <c r="H78" s="27" t="n">
        <v>37</v>
      </c>
      <c r="J78" s="27">
        <f>SUMPRODUCT(COUNTIFS(확률!$J$2:$J$46, 원본!B78:G78, 확률!$M$2:$M$46, "&lt;=20"))</f>
        <v/>
      </c>
      <c r="K78" s="27">
        <f>SUMPRODUCT(COUNTIFS(확률!$J$2:$J$46, 원본!B78:G78, 확률!$M$2:$M$46, "&gt;=36"))</f>
        <v/>
      </c>
      <c r="L78" s="27">
        <f>6-J78-K78</f>
        <v/>
      </c>
    </row>
    <row r="79" ht="16.5" customHeight="1" s="28">
      <c r="A79" s="31" t="n">
        <v>78</v>
      </c>
      <c r="B79" s="27" t="n">
        <v>10</v>
      </c>
      <c r="C79" s="27" t="n">
        <v>13</v>
      </c>
      <c r="D79" s="27" t="n">
        <v>25</v>
      </c>
      <c r="E79" s="27" t="n">
        <v>29</v>
      </c>
      <c r="F79" s="27" t="n">
        <v>33</v>
      </c>
      <c r="G79" s="27" t="n">
        <v>35</v>
      </c>
      <c r="H79" s="27" t="n">
        <v>38</v>
      </c>
      <c r="J79" s="27">
        <f>SUMPRODUCT(COUNTIFS(확률!$J$2:$J$46, 원본!B79:G79, 확률!$M$2:$M$46, "&lt;=20"))</f>
        <v/>
      </c>
      <c r="K79" s="27">
        <f>SUMPRODUCT(COUNTIFS(확률!$J$2:$J$46, 원본!B79:G79, 확률!$M$2:$M$46, "&gt;=36"))</f>
        <v/>
      </c>
      <c r="L79" s="27">
        <f>6-J79-K79</f>
        <v/>
      </c>
    </row>
    <row r="80" ht="16.5" customHeight="1" s="28">
      <c r="A80" s="31" t="n">
        <v>79</v>
      </c>
      <c r="B80" s="27" t="n">
        <v>3</v>
      </c>
      <c r="C80" s="27" t="n">
        <v>12</v>
      </c>
      <c r="D80" s="27" t="n">
        <v>24</v>
      </c>
      <c r="E80" s="27" t="n">
        <v>27</v>
      </c>
      <c r="F80" s="27" t="n">
        <v>30</v>
      </c>
      <c r="G80" s="27" t="n">
        <v>32</v>
      </c>
      <c r="H80" s="27" t="n">
        <v>14</v>
      </c>
      <c r="J80" s="27">
        <f>SUMPRODUCT(COUNTIFS(확률!$J$2:$J$46, 원본!B80:G80, 확률!$M$2:$M$46, "&lt;=20"))</f>
        <v/>
      </c>
      <c r="K80" s="27">
        <f>SUMPRODUCT(COUNTIFS(확률!$J$2:$J$46, 원본!B80:G80, 확률!$M$2:$M$46, "&gt;=36"))</f>
        <v/>
      </c>
      <c r="L80" s="27">
        <f>6-J80-K80</f>
        <v/>
      </c>
    </row>
    <row r="81" ht="16.5" customHeight="1" s="28">
      <c r="A81" s="31" t="n">
        <v>80</v>
      </c>
      <c r="B81" s="27" t="n">
        <v>17</v>
      </c>
      <c r="C81" s="27" t="n">
        <v>18</v>
      </c>
      <c r="D81" s="27" t="n">
        <v>24</v>
      </c>
      <c r="E81" s="27" t="n">
        <v>25</v>
      </c>
      <c r="F81" s="27" t="n">
        <v>26</v>
      </c>
      <c r="G81" s="27" t="n">
        <v>30</v>
      </c>
      <c r="H81" s="27" t="n">
        <v>1</v>
      </c>
      <c r="J81" s="27">
        <f>SUMPRODUCT(COUNTIFS(확률!$J$2:$J$46, 원본!B81:G81, 확률!$M$2:$M$46, "&lt;=20"))</f>
        <v/>
      </c>
      <c r="K81" s="27">
        <f>SUMPRODUCT(COUNTIFS(확률!$J$2:$J$46, 원본!B81:G81, 확률!$M$2:$M$46, "&gt;=36"))</f>
        <v/>
      </c>
      <c r="L81" s="27">
        <f>6-J81-K81</f>
        <v/>
      </c>
    </row>
    <row r="82" ht="16.5" customHeight="1" s="28">
      <c r="A82" s="31" t="n">
        <v>81</v>
      </c>
      <c r="B82" s="27" t="n">
        <v>5</v>
      </c>
      <c r="C82" s="27" t="n">
        <v>7</v>
      </c>
      <c r="D82" s="27" t="n">
        <v>11</v>
      </c>
      <c r="E82" s="27" t="n">
        <v>13</v>
      </c>
      <c r="F82" s="27" t="n">
        <v>20</v>
      </c>
      <c r="G82" s="27" t="n">
        <v>33</v>
      </c>
      <c r="H82" s="27" t="n">
        <v>6</v>
      </c>
      <c r="J82" s="27">
        <f>SUMPRODUCT(COUNTIFS(확률!$J$2:$J$46, 원본!B82:G82, 확률!$M$2:$M$46, "&lt;=20"))</f>
        <v/>
      </c>
      <c r="K82" s="27">
        <f>SUMPRODUCT(COUNTIFS(확률!$J$2:$J$46, 원본!B82:G82, 확률!$M$2:$M$46, "&gt;=36"))</f>
        <v/>
      </c>
      <c r="L82" s="27">
        <f>6-J82-K82</f>
        <v/>
      </c>
    </row>
    <row r="83" ht="16.5" customHeight="1" s="28">
      <c r="A83" s="31" t="n">
        <v>82</v>
      </c>
      <c r="B83" s="27" t="n">
        <v>1</v>
      </c>
      <c r="C83" s="27" t="n">
        <v>2</v>
      </c>
      <c r="D83" s="27" t="n">
        <v>3</v>
      </c>
      <c r="E83" s="27" t="n">
        <v>14</v>
      </c>
      <c r="F83" s="27" t="n">
        <v>27</v>
      </c>
      <c r="G83" s="27" t="n">
        <v>42</v>
      </c>
      <c r="H83" s="27" t="n">
        <v>39</v>
      </c>
      <c r="J83" s="27">
        <f>SUMPRODUCT(COUNTIFS(확률!$J$2:$J$46, 원본!B83:G83, 확률!$M$2:$M$46, "&lt;=20"))</f>
        <v/>
      </c>
      <c r="K83" s="27">
        <f>SUMPRODUCT(COUNTIFS(확률!$J$2:$J$46, 원본!B83:G83, 확률!$M$2:$M$46, "&gt;=36"))</f>
        <v/>
      </c>
      <c r="L83" s="27">
        <f>6-J83-K83</f>
        <v/>
      </c>
    </row>
    <row r="84" ht="16.5" customHeight="1" s="28">
      <c r="A84" s="31" t="n">
        <v>83</v>
      </c>
      <c r="B84" s="27" t="n">
        <v>6</v>
      </c>
      <c r="C84" s="27" t="n">
        <v>10</v>
      </c>
      <c r="D84" s="27" t="n">
        <v>15</v>
      </c>
      <c r="E84" s="27" t="n">
        <v>17</v>
      </c>
      <c r="F84" s="27" t="n">
        <v>19</v>
      </c>
      <c r="G84" s="27" t="n">
        <v>34</v>
      </c>
      <c r="H84" s="27" t="n">
        <v>14</v>
      </c>
      <c r="J84" s="27">
        <f>SUMPRODUCT(COUNTIFS(확률!$J$2:$J$46, 원본!B84:G84, 확률!$M$2:$M$46, "&lt;=20"))</f>
        <v/>
      </c>
      <c r="K84" s="27">
        <f>SUMPRODUCT(COUNTIFS(확률!$J$2:$J$46, 원본!B84:G84, 확률!$M$2:$M$46, "&gt;=36"))</f>
        <v/>
      </c>
      <c r="L84" s="27">
        <f>6-J84-K84</f>
        <v/>
      </c>
    </row>
    <row r="85" ht="16.5" customHeight="1" s="28">
      <c r="A85" s="31" t="n">
        <v>84</v>
      </c>
      <c r="B85" s="27" t="n">
        <v>16</v>
      </c>
      <c r="C85" s="27" t="n">
        <v>23</v>
      </c>
      <c r="D85" s="27" t="n">
        <v>27</v>
      </c>
      <c r="E85" s="27" t="n">
        <v>34</v>
      </c>
      <c r="F85" s="27" t="n">
        <v>42</v>
      </c>
      <c r="G85" s="27" t="n">
        <v>45</v>
      </c>
      <c r="H85" s="27" t="n">
        <v>11</v>
      </c>
      <c r="J85" s="27">
        <f>SUMPRODUCT(COUNTIFS(확률!$J$2:$J$46, 원본!B85:G85, 확률!$M$2:$M$46, "&lt;=20"))</f>
        <v/>
      </c>
      <c r="K85" s="27">
        <f>SUMPRODUCT(COUNTIFS(확률!$J$2:$J$46, 원본!B85:G85, 확률!$M$2:$M$46, "&gt;=36"))</f>
        <v/>
      </c>
      <c r="L85" s="27">
        <f>6-J85-K85</f>
        <v/>
      </c>
    </row>
    <row r="86" ht="16.5" customHeight="1" s="28">
      <c r="A86" s="31" t="n">
        <v>85</v>
      </c>
      <c r="B86" s="27" t="n">
        <v>6</v>
      </c>
      <c r="C86" s="27" t="n">
        <v>8</v>
      </c>
      <c r="D86" s="27" t="n">
        <v>13</v>
      </c>
      <c r="E86" s="27" t="n">
        <v>23</v>
      </c>
      <c r="F86" s="27" t="n">
        <v>31</v>
      </c>
      <c r="G86" s="27" t="n">
        <v>36</v>
      </c>
      <c r="H86" s="27" t="n">
        <v>21</v>
      </c>
      <c r="J86" s="27">
        <f>SUMPRODUCT(COUNTIFS(확률!$J$2:$J$46, 원본!B86:G86, 확률!$M$2:$M$46, "&lt;=20"))</f>
        <v/>
      </c>
      <c r="K86" s="27">
        <f>SUMPRODUCT(COUNTIFS(확률!$J$2:$J$46, 원본!B86:G86, 확률!$M$2:$M$46, "&gt;=36"))</f>
        <v/>
      </c>
      <c r="L86" s="27">
        <f>6-J86-K86</f>
        <v/>
      </c>
    </row>
    <row r="87" ht="16.5" customHeight="1" s="28">
      <c r="A87" s="31" t="n">
        <v>86</v>
      </c>
      <c r="B87" s="27" t="n">
        <v>2</v>
      </c>
      <c r="C87" s="27" t="n">
        <v>12</v>
      </c>
      <c r="D87" s="27" t="n">
        <v>37</v>
      </c>
      <c r="E87" s="27" t="n">
        <v>39</v>
      </c>
      <c r="F87" s="27" t="n">
        <v>41</v>
      </c>
      <c r="G87" s="27" t="n">
        <v>45</v>
      </c>
      <c r="H87" s="27" t="n">
        <v>33</v>
      </c>
      <c r="J87" s="27">
        <f>SUMPRODUCT(COUNTIFS(확률!$J$2:$J$46, 원본!B87:G87, 확률!$M$2:$M$46, "&lt;=20"))</f>
        <v/>
      </c>
      <c r="K87" s="27">
        <f>SUMPRODUCT(COUNTIFS(확률!$J$2:$J$46, 원본!B87:G87, 확률!$M$2:$M$46, "&gt;=36"))</f>
        <v/>
      </c>
      <c r="L87" s="27">
        <f>6-J87-K87</f>
        <v/>
      </c>
    </row>
    <row r="88" ht="16.5" customHeight="1" s="28">
      <c r="A88" s="31" t="n">
        <v>87</v>
      </c>
      <c r="B88" s="27" t="n">
        <v>4</v>
      </c>
      <c r="C88" s="27" t="n">
        <v>12</v>
      </c>
      <c r="D88" s="27" t="n">
        <v>16</v>
      </c>
      <c r="E88" s="27" t="n">
        <v>23</v>
      </c>
      <c r="F88" s="27" t="n">
        <v>34</v>
      </c>
      <c r="G88" s="27" t="n">
        <v>43</v>
      </c>
      <c r="H88" s="27" t="n">
        <v>26</v>
      </c>
      <c r="J88" s="27">
        <f>SUMPRODUCT(COUNTIFS(확률!$J$2:$J$46, 원본!B88:G88, 확률!$M$2:$M$46, "&lt;=20"))</f>
        <v/>
      </c>
      <c r="K88" s="27">
        <f>SUMPRODUCT(COUNTIFS(확률!$J$2:$J$46, 원본!B88:G88, 확률!$M$2:$M$46, "&gt;=36"))</f>
        <v/>
      </c>
      <c r="L88" s="27">
        <f>6-J88-K88</f>
        <v/>
      </c>
    </row>
    <row r="89" ht="16.5" customHeight="1" s="28">
      <c r="A89" s="31" t="n">
        <v>88</v>
      </c>
      <c r="B89" s="27" t="n">
        <v>1</v>
      </c>
      <c r="C89" s="27" t="n">
        <v>17</v>
      </c>
      <c r="D89" s="27" t="n">
        <v>20</v>
      </c>
      <c r="E89" s="27" t="n">
        <v>24</v>
      </c>
      <c r="F89" s="27" t="n">
        <v>30</v>
      </c>
      <c r="G89" s="27" t="n">
        <v>41</v>
      </c>
      <c r="H89" s="27" t="n">
        <v>27</v>
      </c>
      <c r="J89" s="27">
        <f>SUMPRODUCT(COUNTIFS(확률!$J$2:$J$46, 원본!B89:G89, 확률!$M$2:$M$46, "&lt;=20"))</f>
        <v/>
      </c>
      <c r="K89" s="27">
        <f>SUMPRODUCT(COUNTIFS(확률!$J$2:$J$46, 원본!B89:G89, 확률!$M$2:$M$46, "&gt;=36"))</f>
        <v/>
      </c>
      <c r="L89" s="27">
        <f>6-J89-K89</f>
        <v/>
      </c>
    </row>
    <row r="90" ht="16.5" customHeight="1" s="28">
      <c r="A90" s="31" t="n">
        <v>89</v>
      </c>
      <c r="B90" s="27" t="n">
        <v>4</v>
      </c>
      <c r="C90" s="27" t="n">
        <v>26</v>
      </c>
      <c r="D90" s="27" t="n">
        <v>28</v>
      </c>
      <c r="E90" s="27" t="n">
        <v>29</v>
      </c>
      <c r="F90" s="27" t="n">
        <v>33</v>
      </c>
      <c r="G90" s="27" t="n">
        <v>40</v>
      </c>
      <c r="H90" s="27" t="n">
        <v>37</v>
      </c>
      <c r="J90" s="27">
        <f>SUMPRODUCT(COUNTIFS(확률!$J$2:$J$46, 원본!B90:G90, 확률!$M$2:$M$46, "&lt;=20"))</f>
        <v/>
      </c>
      <c r="K90" s="27">
        <f>SUMPRODUCT(COUNTIFS(확률!$J$2:$J$46, 원본!B90:G90, 확률!$M$2:$M$46, "&gt;=36"))</f>
        <v/>
      </c>
      <c r="L90" s="27">
        <f>6-J90-K90</f>
        <v/>
      </c>
    </row>
    <row r="91" ht="16.5" customHeight="1" s="28">
      <c r="A91" s="31" t="n">
        <v>90</v>
      </c>
      <c r="B91" s="27" t="n">
        <v>17</v>
      </c>
      <c r="C91" s="27" t="n">
        <v>20</v>
      </c>
      <c r="D91" s="27" t="n">
        <v>29</v>
      </c>
      <c r="E91" s="27" t="n">
        <v>35</v>
      </c>
      <c r="F91" s="27" t="n">
        <v>38</v>
      </c>
      <c r="G91" s="27" t="n">
        <v>44</v>
      </c>
      <c r="H91" s="27" t="n">
        <v>10</v>
      </c>
      <c r="J91" s="27">
        <f>SUMPRODUCT(COUNTIFS(확률!$J$2:$J$46, 원본!B91:G91, 확률!$M$2:$M$46, "&lt;=20"))</f>
        <v/>
      </c>
      <c r="K91" s="27">
        <f>SUMPRODUCT(COUNTIFS(확률!$J$2:$J$46, 원본!B91:G91, 확률!$M$2:$M$46, "&gt;=36"))</f>
        <v/>
      </c>
      <c r="L91" s="27">
        <f>6-J91-K91</f>
        <v/>
      </c>
    </row>
    <row r="92" ht="16.5" customHeight="1" s="28">
      <c r="A92" s="31" t="n">
        <v>91</v>
      </c>
      <c r="B92" s="27" t="n">
        <v>1</v>
      </c>
      <c r="C92" s="27" t="n">
        <v>21</v>
      </c>
      <c r="D92" s="27" t="n">
        <v>24</v>
      </c>
      <c r="E92" s="27" t="n">
        <v>26</v>
      </c>
      <c r="F92" s="27" t="n">
        <v>29</v>
      </c>
      <c r="G92" s="27" t="n">
        <v>42</v>
      </c>
      <c r="H92" s="27" t="n">
        <v>27</v>
      </c>
      <c r="J92" s="27">
        <f>SUMPRODUCT(COUNTIFS(확률!$J$2:$J$46, 원본!B92:G92, 확률!$M$2:$M$46, "&lt;=20"))</f>
        <v/>
      </c>
      <c r="K92" s="27">
        <f>SUMPRODUCT(COUNTIFS(확률!$J$2:$J$46, 원본!B92:G92, 확률!$M$2:$M$46, "&gt;=36"))</f>
        <v/>
      </c>
      <c r="L92" s="27">
        <f>6-J92-K92</f>
        <v/>
      </c>
    </row>
    <row r="93" ht="16.5" customHeight="1" s="28">
      <c r="A93" s="31" t="n">
        <v>92</v>
      </c>
      <c r="B93" s="27" t="n">
        <v>3</v>
      </c>
      <c r="C93" s="27" t="n">
        <v>14</v>
      </c>
      <c r="D93" s="27" t="n">
        <v>24</v>
      </c>
      <c r="E93" s="27" t="n">
        <v>33</v>
      </c>
      <c r="F93" s="27" t="n">
        <v>35</v>
      </c>
      <c r="G93" s="27" t="n">
        <v>36</v>
      </c>
      <c r="H93" s="27" t="n">
        <v>17</v>
      </c>
      <c r="J93" s="27">
        <f>SUMPRODUCT(COUNTIFS(확률!$J$2:$J$46, 원본!B93:G93, 확률!$M$2:$M$46, "&lt;=20"))</f>
        <v/>
      </c>
      <c r="K93" s="27">
        <f>SUMPRODUCT(COUNTIFS(확률!$J$2:$J$46, 원본!B93:G93, 확률!$M$2:$M$46, "&gt;=36"))</f>
        <v/>
      </c>
      <c r="L93" s="27">
        <f>6-J93-K93</f>
        <v/>
      </c>
    </row>
    <row r="94" ht="16.5" customHeight="1" s="28">
      <c r="A94" s="31" t="n">
        <v>93</v>
      </c>
      <c r="B94" s="27" t="n">
        <v>6</v>
      </c>
      <c r="C94" s="27" t="n">
        <v>22</v>
      </c>
      <c r="D94" s="27" t="n">
        <v>24</v>
      </c>
      <c r="E94" s="27" t="n">
        <v>36</v>
      </c>
      <c r="F94" s="27" t="n">
        <v>38</v>
      </c>
      <c r="G94" s="27" t="n">
        <v>44</v>
      </c>
      <c r="H94" s="27" t="n">
        <v>19</v>
      </c>
      <c r="J94" s="27">
        <f>SUMPRODUCT(COUNTIFS(확률!$J$2:$J$46, 원본!B94:G94, 확률!$M$2:$M$46, "&lt;=20"))</f>
        <v/>
      </c>
      <c r="K94" s="27">
        <f>SUMPRODUCT(COUNTIFS(확률!$J$2:$J$46, 원본!B94:G94, 확률!$M$2:$M$46, "&gt;=36"))</f>
        <v/>
      </c>
      <c r="L94" s="27">
        <f>6-J94-K94</f>
        <v/>
      </c>
    </row>
    <row r="95" ht="16.5" customHeight="1" s="28">
      <c r="A95" s="31" t="n">
        <v>94</v>
      </c>
      <c r="B95" s="27" t="n">
        <v>5</v>
      </c>
      <c r="C95" s="27" t="n">
        <v>32</v>
      </c>
      <c r="D95" s="27" t="n">
        <v>34</v>
      </c>
      <c r="E95" s="27" t="n">
        <v>40</v>
      </c>
      <c r="F95" s="27" t="n">
        <v>41</v>
      </c>
      <c r="G95" s="27" t="n">
        <v>45</v>
      </c>
      <c r="H95" s="27" t="n">
        <v>6</v>
      </c>
      <c r="J95" s="27">
        <f>SUMPRODUCT(COUNTIFS(확률!$J$2:$J$46, 원본!B95:G95, 확률!$M$2:$M$46, "&lt;=20"))</f>
        <v/>
      </c>
      <c r="K95" s="27">
        <f>SUMPRODUCT(COUNTIFS(확률!$J$2:$J$46, 원본!B95:G95, 확률!$M$2:$M$46, "&gt;=36"))</f>
        <v/>
      </c>
      <c r="L95" s="27">
        <f>6-J95-K95</f>
        <v/>
      </c>
    </row>
    <row r="96" ht="16.5" customHeight="1" s="28">
      <c r="A96" s="31" t="n">
        <v>95</v>
      </c>
      <c r="B96" s="27" t="n">
        <v>8</v>
      </c>
      <c r="C96" s="27" t="n">
        <v>17</v>
      </c>
      <c r="D96" s="27" t="n">
        <v>27</v>
      </c>
      <c r="E96" s="27" t="n">
        <v>31</v>
      </c>
      <c r="F96" s="27" t="n">
        <v>34</v>
      </c>
      <c r="G96" s="27" t="n">
        <v>43</v>
      </c>
      <c r="H96" s="27" t="n">
        <v>14</v>
      </c>
      <c r="J96" s="27">
        <f>SUMPRODUCT(COUNTIFS(확률!$J$2:$J$46, 원본!B96:G96, 확률!$M$2:$M$46, "&lt;=20"))</f>
        <v/>
      </c>
      <c r="K96" s="27">
        <f>SUMPRODUCT(COUNTIFS(확률!$J$2:$J$46, 원본!B96:G96, 확률!$M$2:$M$46, "&gt;=36"))</f>
        <v/>
      </c>
      <c r="L96" s="27">
        <f>6-J96-K96</f>
        <v/>
      </c>
    </row>
    <row r="97" ht="16.5" customHeight="1" s="28">
      <c r="A97" s="31" t="n">
        <v>96</v>
      </c>
      <c r="B97" s="27" t="n">
        <v>1</v>
      </c>
      <c r="C97" s="27" t="n">
        <v>3</v>
      </c>
      <c r="D97" s="27" t="n">
        <v>8</v>
      </c>
      <c r="E97" s="27" t="n">
        <v>21</v>
      </c>
      <c r="F97" s="27" t="n">
        <v>22</v>
      </c>
      <c r="G97" s="27" t="n">
        <v>31</v>
      </c>
      <c r="H97" s="27" t="n">
        <v>20</v>
      </c>
      <c r="J97" s="27">
        <f>SUMPRODUCT(COUNTIFS(확률!$J$2:$J$46, 원본!B97:G97, 확률!$M$2:$M$46, "&lt;=20"))</f>
        <v/>
      </c>
      <c r="K97" s="27">
        <f>SUMPRODUCT(COUNTIFS(확률!$J$2:$J$46, 원본!B97:G97, 확률!$M$2:$M$46, "&gt;=36"))</f>
        <v/>
      </c>
      <c r="L97" s="27">
        <f>6-J97-K97</f>
        <v/>
      </c>
    </row>
    <row r="98" ht="16.5" customHeight="1" s="28">
      <c r="A98" s="31" t="n">
        <v>97</v>
      </c>
      <c r="B98" s="27" t="n">
        <v>6</v>
      </c>
      <c r="C98" s="27" t="n">
        <v>7</v>
      </c>
      <c r="D98" s="27" t="n">
        <v>14</v>
      </c>
      <c r="E98" s="27" t="n">
        <v>15</v>
      </c>
      <c r="F98" s="27" t="n">
        <v>20</v>
      </c>
      <c r="G98" s="27" t="n">
        <v>36</v>
      </c>
      <c r="H98" s="27" t="n">
        <v>3</v>
      </c>
      <c r="J98" s="27">
        <f>SUMPRODUCT(COUNTIFS(확률!$J$2:$J$46, 원본!B98:G98, 확률!$M$2:$M$46, "&lt;=20"))</f>
        <v/>
      </c>
      <c r="K98" s="27">
        <f>SUMPRODUCT(COUNTIFS(확률!$J$2:$J$46, 원본!B98:G98, 확률!$M$2:$M$46, "&gt;=36"))</f>
        <v/>
      </c>
      <c r="L98" s="27">
        <f>6-J98-K98</f>
        <v/>
      </c>
    </row>
    <row r="99" ht="16.5" customHeight="1" s="28">
      <c r="A99" s="31" t="n">
        <v>98</v>
      </c>
      <c r="B99" s="27" t="n">
        <v>6</v>
      </c>
      <c r="C99" s="27" t="n">
        <v>9</v>
      </c>
      <c r="D99" s="27" t="n">
        <v>16</v>
      </c>
      <c r="E99" s="27" t="n">
        <v>23</v>
      </c>
      <c r="F99" s="27" t="n">
        <v>24</v>
      </c>
      <c r="G99" s="27" t="n">
        <v>32</v>
      </c>
      <c r="H99" s="27" t="n">
        <v>43</v>
      </c>
      <c r="J99" s="27">
        <f>SUMPRODUCT(COUNTIFS(확률!$J$2:$J$46, 원본!B99:G99, 확률!$M$2:$M$46, "&lt;=20"))</f>
        <v/>
      </c>
      <c r="K99" s="27">
        <f>SUMPRODUCT(COUNTIFS(확률!$J$2:$J$46, 원본!B99:G99, 확률!$M$2:$M$46, "&gt;=36"))</f>
        <v/>
      </c>
      <c r="L99" s="27">
        <f>6-J99-K99</f>
        <v/>
      </c>
    </row>
    <row r="100" ht="16.5" customHeight="1" s="28">
      <c r="A100" s="31" t="n">
        <v>99</v>
      </c>
      <c r="B100" s="27" t="n">
        <v>1</v>
      </c>
      <c r="C100" s="27" t="n">
        <v>3</v>
      </c>
      <c r="D100" s="27" t="n">
        <v>10</v>
      </c>
      <c r="E100" s="27" t="n">
        <v>27</v>
      </c>
      <c r="F100" s="27" t="n">
        <v>29</v>
      </c>
      <c r="G100" s="27" t="n">
        <v>37</v>
      </c>
      <c r="H100" s="27" t="n">
        <v>11</v>
      </c>
      <c r="J100" s="27">
        <f>SUMPRODUCT(COUNTIFS(확률!$J$2:$J$46, 원본!B100:G100, 확률!$M$2:$M$46, "&lt;=20"))</f>
        <v/>
      </c>
      <c r="K100" s="27">
        <f>SUMPRODUCT(COUNTIFS(확률!$J$2:$J$46, 원본!B100:G100, 확률!$M$2:$M$46, "&gt;=36"))</f>
        <v/>
      </c>
      <c r="L100" s="27">
        <f>6-J100-K100</f>
        <v/>
      </c>
    </row>
    <row r="101" ht="16.5" customHeight="1" s="28">
      <c r="A101" s="31" t="n">
        <v>100</v>
      </c>
      <c r="B101" s="27" t="n">
        <v>1</v>
      </c>
      <c r="C101" s="27" t="n">
        <v>7</v>
      </c>
      <c r="D101" s="27" t="n">
        <v>11</v>
      </c>
      <c r="E101" s="27" t="n">
        <v>23</v>
      </c>
      <c r="F101" s="27" t="n">
        <v>37</v>
      </c>
      <c r="G101" s="27" t="n">
        <v>42</v>
      </c>
      <c r="H101" s="27" t="n">
        <v>6</v>
      </c>
      <c r="J101" s="27">
        <f>SUMPRODUCT(COUNTIFS(확률!$J$2:$J$46, 원본!B101:G101, 확률!$M$2:$M$46, "&lt;=20"))</f>
        <v/>
      </c>
      <c r="K101" s="27">
        <f>SUMPRODUCT(COUNTIFS(확률!$J$2:$J$46, 원본!B101:G101, 확률!$M$2:$M$46, "&gt;=36"))</f>
        <v/>
      </c>
      <c r="L101" s="27">
        <f>6-J101-K101</f>
        <v/>
      </c>
    </row>
    <row r="102" ht="16.5" customHeight="1" s="28">
      <c r="A102" s="31" t="n">
        <v>101</v>
      </c>
      <c r="B102" s="27" t="n">
        <v>1</v>
      </c>
      <c r="C102" s="27" t="n">
        <v>3</v>
      </c>
      <c r="D102" s="27" t="n">
        <v>17</v>
      </c>
      <c r="E102" s="27" t="n">
        <v>32</v>
      </c>
      <c r="F102" s="27" t="n">
        <v>34</v>
      </c>
      <c r="G102" s="27" t="n">
        <v>45</v>
      </c>
      <c r="H102" s="27" t="n">
        <v>8</v>
      </c>
      <c r="J102" s="27">
        <f>SUMPRODUCT(COUNTIFS(확률!$J$2:$J$46, 원본!B102:G102, 확률!$M$2:$M$46, "&lt;=20"))</f>
        <v/>
      </c>
      <c r="K102" s="27">
        <f>SUMPRODUCT(COUNTIFS(확률!$J$2:$J$46, 원본!B102:G102, 확률!$M$2:$M$46, "&gt;=36"))</f>
        <v/>
      </c>
      <c r="L102" s="27">
        <f>6-J102-K102</f>
        <v/>
      </c>
    </row>
    <row r="103" ht="16.5" customHeight="1" s="28">
      <c r="A103" s="31" t="n">
        <v>102</v>
      </c>
      <c r="B103" s="27" t="n">
        <v>17</v>
      </c>
      <c r="C103" s="27" t="n">
        <v>22</v>
      </c>
      <c r="D103" s="27" t="n">
        <v>24</v>
      </c>
      <c r="E103" s="27" t="n">
        <v>26</v>
      </c>
      <c r="F103" s="27" t="n">
        <v>35</v>
      </c>
      <c r="G103" s="27" t="n">
        <v>40</v>
      </c>
      <c r="H103" s="27" t="n">
        <v>42</v>
      </c>
      <c r="J103" s="27">
        <f>SUMPRODUCT(COUNTIFS(확률!$J$2:$J$46, 원본!B103:G103, 확률!$M$2:$M$46, "&lt;=20"))</f>
        <v/>
      </c>
      <c r="K103" s="27">
        <f>SUMPRODUCT(COUNTIFS(확률!$J$2:$J$46, 원본!B103:G103, 확률!$M$2:$M$46, "&gt;=36"))</f>
        <v/>
      </c>
      <c r="L103" s="27">
        <f>6-J103-K103</f>
        <v/>
      </c>
    </row>
    <row r="104" ht="16.5" customHeight="1" s="28">
      <c r="A104" s="31" t="n">
        <v>103</v>
      </c>
      <c r="B104" s="27" t="n">
        <v>5</v>
      </c>
      <c r="C104" s="27" t="n">
        <v>14</v>
      </c>
      <c r="D104" s="27" t="n">
        <v>15</v>
      </c>
      <c r="E104" s="27" t="n">
        <v>27</v>
      </c>
      <c r="F104" s="27" t="n">
        <v>30</v>
      </c>
      <c r="G104" s="27" t="n">
        <v>45</v>
      </c>
      <c r="H104" s="27" t="n">
        <v>10</v>
      </c>
      <c r="J104" s="27">
        <f>SUMPRODUCT(COUNTIFS(확률!$J$2:$J$46, 원본!B104:G104, 확률!$M$2:$M$46, "&lt;=20"))</f>
        <v/>
      </c>
      <c r="K104" s="27">
        <f>SUMPRODUCT(COUNTIFS(확률!$J$2:$J$46, 원본!B104:G104, 확률!$M$2:$M$46, "&gt;=36"))</f>
        <v/>
      </c>
      <c r="L104" s="27">
        <f>6-J104-K104</f>
        <v/>
      </c>
    </row>
    <row r="105" ht="16.5" customHeight="1" s="28">
      <c r="A105" s="31" t="n">
        <v>104</v>
      </c>
      <c r="B105" s="27" t="n">
        <v>17</v>
      </c>
      <c r="C105" s="27" t="n">
        <v>32</v>
      </c>
      <c r="D105" s="27" t="n">
        <v>33</v>
      </c>
      <c r="E105" s="27" t="n">
        <v>34</v>
      </c>
      <c r="F105" s="27" t="n">
        <v>42</v>
      </c>
      <c r="G105" s="27" t="n">
        <v>44</v>
      </c>
      <c r="H105" s="27" t="n">
        <v>35</v>
      </c>
      <c r="J105" s="27">
        <f>SUMPRODUCT(COUNTIFS(확률!$J$2:$J$46, 원본!B105:G105, 확률!$M$2:$M$46, "&lt;=20"))</f>
        <v/>
      </c>
      <c r="K105" s="27">
        <f>SUMPRODUCT(COUNTIFS(확률!$J$2:$J$46, 원본!B105:G105, 확률!$M$2:$M$46, "&gt;=36"))</f>
        <v/>
      </c>
      <c r="L105" s="27">
        <f>6-J105-K105</f>
        <v/>
      </c>
    </row>
    <row r="106" ht="16.5" customHeight="1" s="28">
      <c r="A106" s="31" t="n">
        <v>105</v>
      </c>
      <c r="B106" s="27" t="n">
        <v>8</v>
      </c>
      <c r="C106" s="27" t="n">
        <v>10</v>
      </c>
      <c r="D106" s="27" t="n">
        <v>20</v>
      </c>
      <c r="E106" s="27" t="n">
        <v>34</v>
      </c>
      <c r="F106" s="27" t="n">
        <v>41</v>
      </c>
      <c r="G106" s="27" t="n">
        <v>45</v>
      </c>
      <c r="H106" s="27" t="n">
        <v>28</v>
      </c>
      <c r="J106" s="27">
        <f>SUMPRODUCT(COUNTIFS(확률!$J$2:$J$46, 원본!B106:G106, 확률!$M$2:$M$46, "&lt;=20"))</f>
        <v/>
      </c>
      <c r="K106" s="27">
        <f>SUMPRODUCT(COUNTIFS(확률!$J$2:$J$46, 원본!B106:G106, 확률!$M$2:$M$46, "&gt;=36"))</f>
        <v/>
      </c>
      <c r="L106" s="27">
        <f>6-J106-K106</f>
        <v/>
      </c>
    </row>
    <row r="107" ht="16.5" customHeight="1" s="28">
      <c r="A107" s="31" t="n">
        <v>106</v>
      </c>
      <c r="B107" s="27" t="n">
        <v>4</v>
      </c>
      <c r="C107" s="27" t="n">
        <v>10</v>
      </c>
      <c r="D107" s="27" t="n">
        <v>12</v>
      </c>
      <c r="E107" s="27" t="n">
        <v>22</v>
      </c>
      <c r="F107" s="27" t="n">
        <v>24</v>
      </c>
      <c r="G107" s="27" t="n">
        <v>33</v>
      </c>
      <c r="H107" s="27" t="n">
        <v>29</v>
      </c>
      <c r="J107" s="27">
        <f>SUMPRODUCT(COUNTIFS(확률!$J$2:$J$46, 원본!B107:G107, 확률!$M$2:$M$46, "&lt;=20"))</f>
        <v/>
      </c>
      <c r="K107" s="27">
        <f>SUMPRODUCT(COUNTIFS(확률!$J$2:$J$46, 원본!B107:G107, 확률!$M$2:$M$46, "&gt;=36"))</f>
        <v/>
      </c>
      <c r="L107" s="27">
        <f>6-J107-K107</f>
        <v/>
      </c>
    </row>
    <row r="108" ht="16.5" customHeight="1" s="28">
      <c r="A108" s="31" t="n">
        <v>107</v>
      </c>
      <c r="B108" s="27" t="n">
        <v>1</v>
      </c>
      <c r="C108" s="27" t="n">
        <v>4</v>
      </c>
      <c r="D108" s="27" t="n">
        <v>5</v>
      </c>
      <c r="E108" s="27" t="n">
        <v>6</v>
      </c>
      <c r="F108" s="27" t="n">
        <v>9</v>
      </c>
      <c r="G108" s="27" t="n">
        <v>31</v>
      </c>
      <c r="H108" s="27" t="n">
        <v>17</v>
      </c>
      <c r="J108" s="27">
        <f>SUMPRODUCT(COUNTIFS(확률!$J$2:$J$46, 원본!B108:G108, 확률!$M$2:$M$46, "&lt;=20"))</f>
        <v/>
      </c>
      <c r="K108" s="27">
        <f>SUMPRODUCT(COUNTIFS(확률!$J$2:$J$46, 원본!B108:G108, 확률!$M$2:$M$46, "&gt;=36"))</f>
        <v/>
      </c>
      <c r="L108" s="27">
        <f>6-J108-K108</f>
        <v/>
      </c>
    </row>
    <row r="109" ht="16.5" customHeight="1" s="28">
      <c r="A109" s="31" t="n">
        <v>108</v>
      </c>
      <c r="B109" s="27" t="n">
        <v>7</v>
      </c>
      <c r="C109" s="27" t="n">
        <v>18</v>
      </c>
      <c r="D109" s="27" t="n">
        <v>22</v>
      </c>
      <c r="E109" s="27" t="n">
        <v>23</v>
      </c>
      <c r="F109" s="27" t="n">
        <v>29</v>
      </c>
      <c r="G109" s="27" t="n">
        <v>44</v>
      </c>
      <c r="H109" s="27" t="n">
        <v>12</v>
      </c>
      <c r="J109" s="27">
        <f>SUMPRODUCT(COUNTIFS(확률!$J$2:$J$46, 원본!B109:G109, 확률!$M$2:$M$46, "&lt;=20"))</f>
        <v/>
      </c>
      <c r="K109" s="27">
        <f>SUMPRODUCT(COUNTIFS(확률!$J$2:$J$46, 원본!B109:G109, 확률!$M$2:$M$46, "&gt;=36"))</f>
        <v/>
      </c>
      <c r="L109" s="27">
        <f>6-J109-K109</f>
        <v/>
      </c>
    </row>
    <row r="110" ht="16.5" customHeight="1" s="28">
      <c r="A110" s="31" t="n">
        <v>109</v>
      </c>
      <c r="B110" s="27" t="n">
        <v>1</v>
      </c>
      <c r="C110" s="27" t="n">
        <v>5</v>
      </c>
      <c r="D110" s="27" t="n">
        <v>34</v>
      </c>
      <c r="E110" s="27" t="n">
        <v>36</v>
      </c>
      <c r="F110" s="27" t="n">
        <v>42</v>
      </c>
      <c r="G110" s="27" t="n">
        <v>44</v>
      </c>
      <c r="H110" s="27" t="n">
        <v>33</v>
      </c>
      <c r="J110" s="27">
        <f>SUMPRODUCT(COUNTIFS(확률!$J$2:$J$46, 원본!B110:G110, 확률!$M$2:$M$46, "&lt;=20"))</f>
        <v/>
      </c>
      <c r="K110" s="27">
        <f>SUMPRODUCT(COUNTIFS(확률!$J$2:$J$46, 원본!B110:G110, 확률!$M$2:$M$46, "&gt;=36"))</f>
        <v/>
      </c>
      <c r="L110" s="27">
        <f>6-J110-K110</f>
        <v/>
      </c>
    </row>
    <row r="111" ht="16.5" customHeight="1" s="28">
      <c r="A111" s="31" t="n">
        <v>110</v>
      </c>
      <c r="B111" s="27" t="n">
        <v>7</v>
      </c>
      <c r="C111" s="27" t="n">
        <v>20</v>
      </c>
      <c r="D111" s="27" t="n">
        <v>22</v>
      </c>
      <c r="E111" s="27" t="n">
        <v>23</v>
      </c>
      <c r="F111" s="27" t="n">
        <v>29</v>
      </c>
      <c r="G111" s="27" t="n">
        <v>43</v>
      </c>
      <c r="H111" s="27" t="n">
        <v>1</v>
      </c>
      <c r="J111" s="27">
        <f>SUMPRODUCT(COUNTIFS(확률!$J$2:$J$46, 원본!B111:G111, 확률!$M$2:$M$46, "&lt;=20"))</f>
        <v/>
      </c>
      <c r="K111" s="27">
        <f>SUMPRODUCT(COUNTIFS(확률!$J$2:$J$46, 원본!B111:G111, 확률!$M$2:$M$46, "&gt;=36"))</f>
        <v/>
      </c>
      <c r="L111" s="27">
        <f>6-J111-K111</f>
        <v/>
      </c>
    </row>
    <row r="112" ht="16.5" customHeight="1" s="28">
      <c r="A112" s="31" t="n">
        <v>111</v>
      </c>
      <c r="B112" s="27" t="n">
        <v>7</v>
      </c>
      <c r="C112" s="27" t="n">
        <v>18</v>
      </c>
      <c r="D112" s="27" t="n">
        <v>31</v>
      </c>
      <c r="E112" s="27" t="n">
        <v>33</v>
      </c>
      <c r="F112" s="27" t="n">
        <v>36</v>
      </c>
      <c r="G112" s="27" t="n">
        <v>40</v>
      </c>
      <c r="H112" s="27" t="n">
        <v>27</v>
      </c>
      <c r="J112" s="27">
        <f>SUMPRODUCT(COUNTIFS(확률!$J$2:$J$46, 원본!B112:G112, 확률!$M$2:$M$46, "&lt;=20"))</f>
        <v/>
      </c>
      <c r="K112" s="27">
        <f>SUMPRODUCT(COUNTIFS(확률!$J$2:$J$46, 원본!B112:G112, 확률!$M$2:$M$46, "&gt;=36"))</f>
        <v/>
      </c>
      <c r="L112" s="27">
        <f>6-J112-K112</f>
        <v/>
      </c>
    </row>
    <row r="113" ht="16.5" customHeight="1" s="28">
      <c r="A113" s="31" t="n">
        <v>112</v>
      </c>
      <c r="B113" s="27" t="n">
        <v>26</v>
      </c>
      <c r="C113" s="27" t="n">
        <v>29</v>
      </c>
      <c r="D113" s="27" t="n">
        <v>30</v>
      </c>
      <c r="E113" s="27" t="n">
        <v>33</v>
      </c>
      <c r="F113" s="27" t="n">
        <v>41</v>
      </c>
      <c r="G113" s="27" t="n">
        <v>42</v>
      </c>
      <c r="H113" s="27" t="n">
        <v>43</v>
      </c>
      <c r="J113" s="27">
        <f>SUMPRODUCT(COUNTIFS(확률!$J$2:$J$46, 원본!B113:G113, 확률!$M$2:$M$46, "&lt;=20"))</f>
        <v/>
      </c>
      <c r="K113" s="27">
        <f>SUMPRODUCT(COUNTIFS(확률!$J$2:$J$46, 원본!B113:G113, 확률!$M$2:$M$46, "&gt;=36"))</f>
        <v/>
      </c>
      <c r="L113" s="27">
        <f>6-J113-K113</f>
        <v/>
      </c>
    </row>
    <row r="114" ht="16.5" customHeight="1" s="28">
      <c r="A114" s="31" t="n">
        <v>113</v>
      </c>
      <c r="B114" s="27" t="n">
        <v>4</v>
      </c>
      <c r="C114" s="27" t="n">
        <v>9</v>
      </c>
      <c r="D114" s="27" t="n">
        <v>28</v>
      </c>
      <c r="E114" s="27" t="n">
        <v>33</v>
      </c>
      <c r="F114" s="27" t="n">
        <v>36</v>
      </c>
      <c r="G114" s="27" t="n">
        <v>45</v>
      </c>
      <c r="H114" s="27" t="n">
        <v>26</v>
      </c>
      <c r="J114" s="27">
        <f>SUMPRODUCT(COUNTIFS(확률!$J$2:$J$46, 원본!B114:G114, 확률!$M$2:$M$46, "&lt;=20"))</f>
        <v/>
      </c>
      <c r="K114" s="27">
        <f>SUMPRODUCT(COUNTIFS(확률!$J$2:$J$46, 원본!B114:G114, 확률!$M$2:$M$46, "&gt;=36"))</f>
        <v/>
      </c>
      <c r="L114" s="27">
        <f>6-J114-K114</f>
        <v/>
      </c>
    </row>
    <row r="115" ht="16.5" customHeight="1" s="28">
      <c r="A115" s="31" t="n">
        <v>114</v>
      </c>
      <c r="B115" s="27" t="n">
        <v>11</v>
      </c>
      <c r="C115" s="27" t="n">
        <v>14</v>
      </c>
      <c r="D115" s="27" t="n">
        <v>19</v>
      </c>
      <c r="E115" s="27" t="n">
        <v>26</v>
      </c>
      <c r="F115" s="27" t="n">
        <v>28</v>
      </c>
      <c r="G115" s="27" t="n">
        <v>41</v>
      </c>
      <c r="H115" s="27" t="n">
        <v>2</v>
      </c>
      <c r="J115" s="27">
        <f>SUMPRODUCT(COUNTIFS(확률!$J$2:$J$46, 원본!B115:G115, 확률!$M$2:$M$46, "&lt;=20"))</f>
        <v/>
      </c>
      <c r="K115" s="27">
        <f>SUMPRODUCT(COUNTIFS(확률!$J$2:$J$46, 원본!B115:G115, 확률!$M$2:$M$46, "&gt;=36"))</f>
        <v/>
      </c>
      <c r="L115" s="27">
        <f>6-J115-K115</f>
        <v/>
      </c>
    </row>
    <row r="116" ht="16.5" customHeight="1" s="28">
      <c r="A116" s="31" t="n">
        <v>115</v>
      </c>
      <c r="B116" s="27" t="n">
        <v>1</v>
      </c>
      <c r="C116" s="27" t="n">
        <v>2</v>
      </c>
      <c r="D116" s="27" t="n">
        <v>6</v>
      </c>
      <c r="E116" s="27" t="n">
        <v>9</v>
      </c>
      <c r="F116" s="27" t="n">
        <v>25</v>
      </c>
      <c r="G116" s="27" t="n">
        <v>28</v>
      </c>
      <c r="H116" s="27" t="n">
        <v>31</v>
      </c>
      <c r="J116" s="27">
        <f>SUMPRODUCT(COUNTIFS(확률!$J$2:$J$46, 원본!B116:G116, 확률!$M$2:$M$46, "&lt;=20"))</f>
        <v/>
      </c>
      <c r="K116" s="27">
        <f>SUMPRODUCT(COUNTIFS(확률!$J$2:$J$46, 원본!B116:G116, 확률!$M$2:$M$46, "&gt;=36"))</f>
        <v/>
      </c>
      <c r="L116" s="27">
        <f>6-J116-K116</f>
        <v/>
      </c>
    </row>
    <row r="117" ht="16.5" customHeight="1" s="28">
      <c r="A117" s="31" t="n">
        <v>116</v>
      </c>
      <c r="B117" s="27" t="n">
        <v>2</v>
      </c>
      <c r="C117" s="27" t="n">
        <v>4</v>
      </c>
      <c r="D117" s="27" t="n">
        <v>25</v>
      </c>
      <c r="E117" s="27" t="n">
        <v>31</v>
      </c>
      <c r="F117" s="27" t="n">
        <v>34</v>
      </c>
      <c r="G117" s="27" t="n">
        <v>37</v>
      </c>
      <c r="H117" s="27" t="n">
        <v>17</v>
      </c>
      <c r="J117" s="27">
        <f>SUMPRODUCT(COUNTIFS(확률!$J$2:$J$46, 원본!B117:G117, 확률!$M$2:$M$46, "&lt;=20"))</f>
        <v/>
      </c>
      <c r="K117" s="27">
        <f>SUMPRODUCT(COUNTIFS(확률!$J$2:$J$46, 원본!B117:G117, 확률!$M$2:$M$46, "&gt;=36"))</f>
        <v/>
      </c>
      <c r="L117" s="27">
        <f>6-J117-K117</f>
        <v/>
      </c>
    </row>
    <row r="118" ht="16.5" customHeight="1" s="28">
      <c r="A118" s="31" t="n">
        <v>117</v>
      </c>
      <c r="B118" s="27" t="n">
        <v>5</v>
      </c>
      <c r="C118" s="27" t="n">
        <v>10</v>
      </c>
      <c r="D118" s="27" t="n">
        <v>22</v>
      </c>
      <c r="E118" s="27" t="n">
        <v>34</v>
      </c>
      <c r="F118" s="27" t="n">
        <v>36</v>
      </c>
      <c r="G118" s="27" t="n">
        <v>44</v>
      </c>
      <c r="H118" s="27" t="n">
        <v>35</v>
      </c>
      <c r="J118" s="27">
        <f>SUMPRODUCT(COUNTIFS(확률!$J$2:$J$46, 원본!B118:G118, 확률!$M$2:$M$46, "&lt;=20"))</f>
        <v/>
      </c>
      <c r="K118" s="27">
        <f>SUMPRODUCT(COUNTIFS(확률!$J$2:$J$46, 원본!B118:G118, 확률!$M$2:$M$46, "&gt;=36"))</f>
        <v/>
      </c>
      <c r="L118" s="27">
        <f>6-J118-K118</f>
        <v/>
      </c>
    </row>
    <row r="119" ht="16.5" customHeight="1" s="28">
      <c r="A119" s="31" t="n">
        <v>118</v>
      </c>
      <c r="B119" s="27" t="n">
        <v>3</v>
      </c>
      <c r="C119" s="27" t="n">
        <v>4</v>
      </c>
      <c r="D119" s="27" t="n">
        <v>10</v>
      </c>
      <c r="E119" s="27" t="n">
        <v>17</v>
      </c>
      <c r="F119" s="27" t="n">
        <v>19</v>
      </c>
      <c r="G119" s="27" t="n">
        <v>22</v>
      </c>
      <c r="H119" s="27" t="n">
        <v>38</v>
      </c>
      <c r="J119" s="27">
        <f>SUMPRODUCT(COUNTIFS(확률!$J$2:$J$46, 원본!B119:G119, 확률!$M$2:$M$46, "&lt;=20"))</f>
        <v/>
      </c>
      <c r="K119" s="27">
        <f>SUMPRODUCT(COUNTIFS(확률!$J$2:$J$46, 원본!B119:G119, 확률!$M$2:$M$46, "&gt;=36"))</f>
        <v/>
      </c>
      <c r="L119" s="27">
        <f>6-J119-K119</f>
        <v/>
      </c>
    </row>
    <row r="120" ht="16.5" customHeight="1" s="28">
      <c r="A120" s="31" t="n">
        <v>119</v>
      </c>
      <c r="B120" s="27" t="n">
        <v>3</v>
      </c>
      <c r="C120" s="27" t="n">
        <v>11</v>
      </c>
      <c r="D120" s="27" t="n">
        <v>13</v>
      </c>
      <c r="E120" s="27" t="n">
        <v>14</v>
      </c>
      <c r="F120" s="27" t="n">
        <v>17</v>
      </c>
      <c r="G120" s="27" t="n">
        <v>21</v>
      </c>
      <c r="H120" s="27" t="n">
        <v>38</v>
      </c>
      <c r="J120" s="27">
        <f>SUMPRODUCT(COUNTIFS(확률!$J$2:$J$46, 원본!B120:G120, 확률!$M$2:$M$46, "&lt;=20"))</f>
        <v/>
      </c>
      <c r="K120" s="27">
        <f>SUMPRODUCT(COUNTIFS(확률!$J$2:$J$46, 원본!B120:G120, 확률!$M$2:$M$46, "&gt;=36"))</f>
        <v/>
      </c>
      <c r="L120" s="27">
        <f>6-J120-K120</f>
        <v/>
      </c>
    </row>
    <row r="121" ht="16.5" customHeight="1" s="28">
      <c r="A121" s="31" t="n">
        <v>120</v>
      </c>
      <c r="B121" s="27" t="n">
        <v>4</v>
      </c>
      <c r="C121" s="27" t="n">
        <v>6</v>
      </c>
      <c r="D121" s="27" t="n">
        <v>10</v>
      </c>
      <c r="E121" s="27" t="n">
        <v>11</v>
      </c>
      <c r="F121" s="27" t="n">
        <v>32</v>
      </c>
      <c r="G121" s="27" t="n">
        <v>37</v>
      </c>
      <c r="H121" s="27" t="n">
        <v>30</v>
      </c>
      <c r="J121" s="27">
        <f>SUMPRODUCT(COUNTIFS(확률!$J$2:$J$46, 원본!B121:G121, 확률!$M$2:$M$46, "&lt;=20"))</f>
        <v/>
      </c>
      <c r="K121" s="27">
        <f>SUMPRODUCT(COUNTIFS(확률!$J$2:$J$46, 원본!B121:G121, 확률!$M$2:$M$46, "&gt;=36"))</f>
        <v/>
      </c>
      <c r="L121" s="27">
        <f>6-J121-K121</f>
        <v/>
      </c>
    </row>
    <row r="122" ht="16.5" customHeight="1" s="28">
      <c r="A122" s="31" t="n">
        <v>121</v>
      </c>
      <c r="B122" s="27" t="n">
        <v>12</v>
      </c>
      <c r="C122" s="27" t="n">
        <v>28</v>
      </c>
      <c r="D122" s="27" t="n">
        <v>30</v>
      </c>
      <c r="E122" s="27" t="n">
        <v>34</v>
      </c>
      <c r="F122" s="27" t="n">
        <v>38</v>
      </c>
      <c r="G122" s="27" t="n">
        <v>43</v>
      </c>
      <c r="H122" s="27" t="n">
        <v>9</v>
      </c>
      <c r="J122" s="27">
        <f>SUMPRODUCT(COUNTIFS(확률!$J$2:$J$46, 원본!B122:G122, 확률!$M$2:$M$46, "&lt;=20"))</f>
        <v/>
      </c>
      <c r="K122" s="27">
        <f>SUMPRODUCT(COUNTIFS(확률!$J$2:$J$46, 원본!B122:G122, 확률!$M$2:$M$46, "&gt;=36"))</f>
        <v/>
      </c>
      <c r="L122" s="27">
        <f>6-J122-K122</f>
        <v/>
      </c>
    </row>
    <row r="123" ht="16.5" customHeight="1" s="28">
      <c r="A123" s="31" t="n">
        <v>122</v>
      </c>
      <c r="B123" s="27" t="n">
        <v>1</v>
      </c>
      <c r="C123" s="27" t="n">
        <v>11</v>
      </c>
      <c r="D123" s="27" t="n">
        <v>16</v>
      </c>
      <c r="E123" s="27" t="n">
        <v>17</v>
      </c>
      <c r="F123" s="27" t="n">
        <v>36</v>
      </c>
      <c r="G123" s="27" t="n">
        <v>40</v>
      </c>
      <c r="H123" s="27" t="n">
        <v>8</v>
      </c>
      <c r="J123" s="27">
        <f>SUMPRODUCT(COUNTIFS(확률!$J$2:$J$46, 원본!B123:G123, 확률!$M$2:$M$46, "&lt;=20"))</f>
        <v/>
      </c>
      <c r="K123" s="27">
        <f>SUMPRODUCT(COUNTIFS(확률!$J$2:$J$46, 원본!B123:G123, 확률!$M$2:$M$46, "&gt;=36"))</f>
        <v/>
      </c>
      <c r="L123" s="27">
        <f>6-J123-K123</f>
        <v/>
      </c>
    </row>
    <row r="124" ht="16.5" customHeight="1" s="28">
      <c r="A124" s="31" t="n">
        <v>123</v>
      </c>
      <c r="B124" s="27" t="n">
        <v>7</v>
      </c>
      <c r="C124" s="27" t="n">
        <v>17</v>
      </c>
      <c r="D124" s="27" t="n">
        <v>18</v>
      </c>
      <c r="E124" s="27" t="n">
        <v>28</v>
      </c>
      <c r="F124" s="27" t="n">
        <v>30</v>
      </c>
      <c r="G124" s="27" t="n">
        <v>45</v>
      </c>
      <c r="H124" s="27" t="n">
        <v>27</v>
      </c>
      <c r="J124" s="27">
        <f>SUMPRODUCT(COUNTIFS(확률!$J$2:$J$46, 원본!B124:G124, 확률!$M$2:$M$46, "&lt;=20"))</f>
        <v/>
      </c>
      <c r="K124" s="27">
        <f>SUMPRODUCT(COUNTIFS(확률!$J$2:$J$46, 원본!B124:G124, 확률!$M$2:$M$46, "&gt;=36"))</f>
        <v/>
      </c>
      <c r="L124" s="27">
        <f>6-J124-K124</f>
        <v/>
      </c>
    </row>
    <row r="125" ht="16.5" customHeight="1" s="28">
      <c r="A125" s="31" t="n">
        <v>124</v>
      </c>
      <c r="B125" s="27" t="n">
        <v>4</v>
      </c>
      <c r="C125" s="27" t="n">
        <v>16</v>
      </c>
      <c r="D125" s="27" t="n">
        <v>23</v>
      </c>
      <c r="E125" s="27" t="n">
        <v>25</v>
      </c>
      <c r="F125" s="27" t="n">
        <v>29</v>
      </c>
      <c r="G125" s="27" t="n">
        <v>42</v>
      </c>
      <c r="H125" s="27" t="n">
        <v>1</v>
      </c>
      <c r="J125" s="27">
        <f>SUMPRODUCT(COUNTIFS(확률!$J$2:$J$46, 원본!B125:G125, 확률!$M$2:$M$46, "&lt;=20"))</f>
        <v/>
      </c>
      <c r="K125" s="27">
        <f>SUMPRODUCT(COUNTIFS(확률!$J$2:$J$46, 원본!B125:G125, 확률!$M$2:$M$46, "&gt;=36"))</f>
        <v/>
      </c>
      <c r="L125" s="27">
        <f>6-J125-K125</f>
        <v/>
      </c>
    </row>
    <row r="126" ht="16.5" customHeight="1" s="28">
      <c r="A126" s="31" t="n">
        <v>125</v>
      </c>
      <c r="B126" s="27" t="n">
        <v>2</v>
      </c>
      <c r="C126" s="27" t="n">
        <v>8</v>
      </c>
      <c r="D126" s="27" t="n">
        <v>32</v>
      </c>
      <c r="E126" s="27" t="n">
        <v>33</v>
      </c>
      <c r="F126" s="27" t="n">
        <v>35</v>
      </c>
      <c r="G126" s="27" t="n">
        <v>36</v>
      </c>
      <c r="H126" s="27" t="n">
        <v>18</v>
      </c>
      <c r="J126" s="27">
        <f>SUMPRODUCT(COUNTIFS(확률!$J$2:$J$46, 원본!B126:G126, 확률!$M$2:$M$46, "&lt;=20"))</f>
        <v/>
      </c>
      <c r="K126" s="27">
        <f>SUMPRODUCT(COUNTIFS(확률!$J$2:$J$46, 원본!B126:G126, 확률!$M$2:$M$46, "&gt;=36"))</f>
        <v/>
      </c>
      <c r="L126" s="27">
        <f>6-J126-K126</f>
        <v/>
      </c>
    </row>
    <row r="127" ht="16.5" customHeight="1" s="28">
      <c r="A127" s="31" t="n">
        <v>126</v>
      </c>
      <c r="B127" s="27" t="n">
        <v>7</v>
      </c>
      <c r="C127" s="27" t="n">
        <v>20</v>
      </c>
      <c r="D127" s="27" t="n">
        <v>22</v>
      </c>
      <c r="E127" s="27" t="n">
        <v>27</v>
      </c>
      <c r="F127" s="27" t="n">
        <v>40</v>
      </c>
      <c r="G127" s="27" t="n">
        <v>43</v>
      </c>
      <c r="H127" s="27" t="n">
        <v>1</v>
      </c>
      <c r="J127" s="27">
        <f>SUMPRODUCT(COUNTIFS(확률!$J$2:$J$46, 원본!B127:G127, 확률!$M$2:$M$46, "&lt;=20"))</f>
        <v/>
      </c>
      <c r="K127" s="27">
        <f>SUMPRODUCT(COUNTIFS(확률!$J$2:$J$46, 원본!B127:G127, 확률!$M$2:$M$46, "&gt;=36"))</f>
        <v/>
      </c>
      <c r="L127" s="27">
        <f>6-J127-K127</f>
        <v/>
      </c>
    </row>
    <row r="128" ht="16.5" customHeight="1" s="28">
      <c r="A128" s="31" t="n">
        <v>127</v>
      </c>
      <c r="B128" s="27" t="n">
        <v>3</v>
      </c>
      <c r="C128" s="27" t="n">
        <v>5</v>
      </c>
      <c r="D128" s="27" t="n">
        <v>10</v>
      </c>
      <c r="E128" s="27" t="n">
        <v>29</v>
      </c>
      <c r="F128" s="27" t="n">
        <v>32</v>
      </c>
      <c r="G128" s="27" t="n">
        <v>43</v>
      </c>
      <c r="H128" s="27" t="n">
        <v>35</v>
      </c>
      <c r="J128" s="27">
        <f>SUMPRODUCT(COUNTIFS(확률!$J$2:$J$46, 원본!B128:G128, 확률!$M$2:$M$46, "&lt;=20"))</f>
        <v/>
      </c>
      <c r="K128" s="27">
        <f>SUMPRODUCT(COUNTIFS(확률!$J$2:$J$46, 원본!B128:G128, 확률!$M$2:$M$46, "&gt;=36"))</f>
        <v/>
      </c>
      <c r="L128" s="27">
        <f>6-J128-K128</f>
        <v/>
      </c>
    </row>
    <row r="129" ht="16.5" customHeight="1" s="28">
      <c r="A129" s="31" t="n">
        <v>128</v>
      </c>
      <c r="B129" s="27" t="n">
        <v>12</v>
      </c>
      <c r="C129" s="27" t="n">
        <v>30</v>
      </c>
      <c r="D129" s="27" t="n">
        <v>34</v>
      </c>
      <c r="E129" s="27" t="n">
        <v>36</v>
      </c>
      <c r="F129" s="27" t="n">
        <v>37</v>
      </c>
      <c r="G129" s="27" t="n">
        <v>45</v>
      </c>
      <c r="H129" s="27" t="n">
        <v>39</v>
      </c>
      <c r="J129" s="27">
        <f>SUMPRODUCT(COUNTIFS(확률!$J$2:$J$46, 원본!B129:G129, 확률!$M$2:$M$46, "&lt;=20"))</f>
        <v/>
      </c>
      <c r="K129" s="27">
        <f>SUMPRODUCT(COUNTIFS(확률!$J$2:$J$46, 원본!B129:G129, 확률!$M$2:$M$46, "&gt;=36"))</f>
        <v/>
      </c>
      <c r="L129" s="27">
        <f>6-J129-K129</f>
        <v/>
      </c>
    </row>
    <row r="130" ht="16.5" customHeight="1" s="28">
      <c r="A130" s="31" t="n">
        <v>129</v>
      </c>
      <c r="B130" s="27" t="n">
        <v>19</v>
      </c>
      <c r="C130" s="27" t="n">
        <v>23</v>
      </c>
      <c r="D130" s="27" t="n">
        <v>25</v>
      </c>
      <c r="E130" s="27" t="n">
        <v>28</v>
      </c>
      <c r="F130" s="27" t="n">
        <v>38</v>
      </c>
      <c r="G130" s="27" t="n">
        <v>42</v>
      </c>
      <c r="H130" s="27" t="n">
        <v>17</v>
      </c>
      <c r="J130" s="27">
        <f>SUMPRODUCT(COUNTIFS(확률!$J$2:$J$46, 원본!B130:G130, 확률!$M$2:$M$46, "&lt;=20"))</f>
        <v/>
      </c>
      <c r="K130" s="27">
        <f>SUMPRODUCT(COUNTIFS(확률!$J$2:$J$46, 원본!B130:G130, 확률!$M$2:$M$46, "&gt;=36"))</f>
        <v/>
      </c>
      <c r="L130" s="27">
        <f>6-J130-K130</f>
        <v/>
      </c>
    </row>
    <row r="131" ht="16.5" customHeight="1" s="28">
      <c r="A131" s="31" t="n">
        <v>130</v>
      </c>
      <c r="B131" s="27" t="n">
        <v>7</v>
      </c>
      <c r="C131" s="27" t="n">
        <v>19</v>
      </c>
      <c r="D131" s="27" t="n">
        <v>24</v>
      </c>
      <c r="E131" s="27" t="n">
        <v>27</v>
      </c>
      <c r="F131" s="27" t="n">
        <v>42</v>
      </c>
      <c r="G131" s="27" t="n">
        <v>45</v>
      </c>
      <c r="H131" s="27" t="n">
        <v>31</v>
      </c>
      <c r="J131" s="27">
        <f>SUMPRODUCT(COUNTIFS(확률!$J$2:$J$46, 원본!B131:G131, 확률!$M$2:$M$46, "&lt;=20"))</f>
        <v/>
      </c>
      <c r="K131" s="27">
        <f>SUMPRODUCT(COUNTIFS(확률!$J$2:$J$46, 원본!B131:G131, 확률!$M$2:$M$46, "&gt;=36"))</f>
        <v/>
      </c>
      <c r="L131" s="27">
        <f>6-J131-K131</f>
        <v/>
      </c>
    </row>
    <row r="132" ht="16.5" customHeight="1" s="28">
      <c r="A132" s="31" t="n">
        <v>131</v>
      </c>
      <c r="B132" s="27" t="n">
        <v>8</v>
      </c>
      <c r="C132" s="27" t="n">
        <v>10</v>
      </c>
      <c r="D132" s="27" t="n">
        <v>11</v>
      </c>
      <c r="E132" s="27" t="n">
        <v>14</v>
      </c>
      <c r="F132" s="27" t="n">
        <v>15</v>
      </c>
      <c r="G132" s="27" t="n">
        <v>21</v>
      </c>
      <c r="H132" s="27" t="n">
        <v>37</v>
      </c>
      <c r="J132" s="27">
        <f>SUMPRODUCT(COUNTIFS(확률!$J$2:$J$46, 원본!B132:G132, 확률!$M$2:$M$46, "&lt;=20"))</f>
        <v/>
      </c>
      <c r="K132" s="27">
        <f>SUMPRODUCT(COUNTIFS(확률!$J$2:$J$46, 원본!B132:G132, 확률!$M$2:$M$46, "&gt;=36"))</f>
        <v/>
      </c>
      <c r="L132" s="27">
        <f>6-J132-K132</f>
        <v/>
      </c>
    </row>
    <row r="133" ht="16.5" customHeight="1" s="28">
      <c r="A133" s="31" t="n">
        <v>132</v>
      </c>
      <c r="B133" s="27" t="n">
        <v>3</v>
      </c>
      <c r="C133" s="27" t="n">
        <v>17</v>
      </c>
      <c r="D133" s="27" t="n">
        <v>23</v>
      </c>
      <c r="E133" s="27" t="n">
        <v>34</v>
      </c>
      <c r="F133" s="27" t="n">
        <v>41</v>
      </c>
      <c r="G133" s="27" t="n">
        <v>45</v>
      </c>
      <c r="H133" s="27" t="n">
        <v>43</v>
      </c>
      <c r="J133" s="27">
        <f>SUMPRODUCT(COUNTIFS(확률!$J$2:$J$46, 원본!B133:G133, 확률!$M$2:$M$46, "&lt;=20"))</f>
        <v/>
      </c>
      <c r="K133" s="27">
        <f>SUMPRODUCT(COUNTIFS(확률!$J$2:$J$46, 원본!B133:G133, 확률!$M$2:$M$46, "&gt;=36"))</f>
        <v/>
      </c>
      <c r="L133" s="27">
        <f>6-J133-K133</f>
        <v/>
      </c>
    </row>
    <row r="134" ht="16.5" customHeight="1" s="28">
      <c r="A134" s="31" t="n">
        <v>133</v>
      </c>
      <c r="B134" s="27" t="n">
        <v>4</v>
      </c>
      <c r="C134" s="27" t="n">
        <v>7</v>
      </c>
      <c r="D134" s="27" t="n">
        <v>15</v>
      </c>
      <c r="E134" s="27" t="n">
        <v>18</v>
      </c>
      <c r="F134" s="27" t="n">
        <v>23</v>
      </c>
      <c r="G134" s="27" t="n">
        <v>26</v>
      </c>
      <c r="H134" s="27" t="n">
        <v>13</v>
      </c>
      <c r="J134" s="27">
        <f>SUMPRODUCT(COUNTIFS(확률!$J$2:$J$46, 원본!B134:G134, 확률!$M$2:$M$46, "&lt;=20"))</f>
        <v/>
      </c>
      <c r="K134" s="27">
        <f>SUMPRODUCT(COUNTIFS(확률!$J$2:$J$46, 원본!B134:G134, 확률!$M$2:$M$46, "&gt;=36"))</f>
        <v/>
      </c>
      <c r="L134" s="27">
        <f>6-J134-K134</f>
        <v/>
      </c>
    </row>
    <row r="135" ht="16.5" customHeight="1" s="28">
      <c r="A135" s="31" t="n">
        <v>134</v>
      </c>
      <c r="B135" s="27" t="n">
        <v>3</v>
      </c>
      <c r="C135" s="27" t="n">
        <v>12</v>
      </c>
      <c r="D135" s="27" t="n">
        <v>20</v>
      </c>
      <c r="E135" s="27" t="n">
        <v>23</v>
      </c>
      <c r="F135" s="27" t="n">
        <v>31</v>
      </c>
      <c r="G135" s="27" t="n">
        <v>35</v>
      </c>
      <c r="H135" s="27" t="n">
        <v>43</v>
      </c>
      <c r="J135" s="27">
        <f>SUMPRODUCT(COUNTIFS(확률!$J$2:$J$46, 원본!B135:G135, 확률!$M$2:$M$46, "&lt;=20"))</f>
        <v/>
      </c>
      <c r="K135" s="27">
        <f>SUMPRODUCT(COUNTIFS(확률!$J$2:$J$46, 원본!B135:G135, 확률!$M$2:$M$46, "&gt;=36"))</f>
        <v/>
      </c>
      <c r="L135" s="27">
        <f>6-J135-K135</f>
        <v/>
      </c>
    </row>
    <row r="136" ht="16.5" customHeight="1" s="28">
      <c r="A136" s="31" t="n">
        <v>135</v>
      </c>
      <c r="B136" s="27" t="n">
        <v>6</v>
      </c>
      <c r="C136" s="27" t="n">
        <v>14</v>
      </c>
      <c r="D136" s="27" t="n">
        <v>22</v>
      </c>
      <c r="E136" s="27" t="n">
        <v>28</v>
      </c>
      <c r="F136" s="27" t="n">
        <v>35</v>
      </c>
      <c r="G136" s="27" t="n">
        <v>39</v>
      </c>
      <c r="H136" s="27" t="n">
        <v>16</v>
      </c>
      <c r="J136" s="27">
        <f>SUMPRODUCT(COUNTIFS(확률!$J$2:$J$46, 원본!B136:G136, 확률!$M$2:$M$46, "&lt;=20"))</f>
        <v/>
      </c>
      <c r="K136" s="27">
        <f>SUMPRODUCT(COUNTIFS(확률!$J$2:$J$46, 원본!B136:G136, 확률!$M$2:$M$46, "&gt;=36"))</f>
        <v/>
      </c>
      <c r="L136" s="27">
        <f>6-J136-K136</f>
        <v/>
      </c>
    </row>
    <row r="137" ht="16.5" customHeight="1" s="28">
      <c r="A137" s="31" t="n">
        <v>136</v>
      </c>
      <c r="B137" s="27" t="n">
        <v>2</v>
      </c>
      <c r="C137" s="27" t="n">
        <v>16</v>
      </c>
      <c r="D137" s="27" t="n">
        <v>30</v>
      </c>
      <c r="E137" s="27" t="n">
        <v>36</v>
      </c>
      <c r="F137" s="27" t="n">
        <v>41</v>
      </c>
      <c r="G137" s="27" t="n">
        <v>42</v>
      </c>
      <c r="H137" s="27" t="n">
        <v>11</v>
      </c>
      <c r="J137" s="27">
        <f>SUMPRODUCT(COUNTIFS(확률!$J$2:$J$46, 원본!B137:G137, 확률!$M$2:$M$46, "&lt;=20"))</f>
        <v/>
      </c>
      <c r="K137" s="27">
        <f>SUMPRODUCT(COUNTIFS(확률!$J$2:$J$46, 원본!B137:G137, 확률!$M$2:$M$46, "&gt;=36"))</f>
        <v/>
      </c>
      <c r="L137" s="27">
        <f>6-J137-K137</f>
        <v/>
      </c>
    </row>
    <row r="138" ht="16.5" customHeight="1" s="28">
      <c r="A138" s="31" t="n">
        <v>137</v>
      </c>
      <c r="B138" s="27" t="n">
        <v>7</v>
      </c>
      <c r="C138" s="27" t="n">
        <v>9</v>
      </c>
      <c r="D138" s="27" t="n">
        <v>20</v>
      </c>
      <c r="E138" s="27" t="n">
        <v>25</v>
      </c>
      <c r="F138" s="27" t="n">
        <v>36</v>
      </c>
      <c r="G138" s="27" t="n">
        <v>39</v>
      </c>
      <c r="H138" s="27" t="n">
        <v>15</v>
      </c>
      <c r="J138" s="27">
        <f>SUMPRODUCT(COUNTIFS(확률!$J$2:$J$46, 원본!B138:G138, 확률!$M$2:$M$46, "&lt;=20"))</f>
        <v/>
      </c>
      <c r="K138" s="27">
        <f>SUMPRODUCT(COUNTIFS(확률!$J$2:$J$46, 원본!B138:G138, 확률!$M$2:$M$46, "&gt;=36"))</f>
        <v/>
      </c>
      <c r="L138" s="27">
        <f>6-J138-K138</f>
        <v/>
      </c>
    </row>
    <row r="139" ht="16.5" customHeight="1" s="28">
      <c r="A139" s="31" t="n">
        <v>138</v>
      </c>
      <c r="B139" s="27" t="n">
        <v>10</v>
      </c>
      <c r="C139" s="27" t="n">
        <v>11</v>
      </c>
      <c r="D139" s="27" t="n">
        <v>27</v>
      </c>
      <c r="E139" s="27" t="n">
        <v>28</v>
      </c>
      <c r="F139" s="27" t="n">
        <v>37</v>
      </c>
      <c r="G139" s="27" t="n">
        <v>39</v>
      </c>
      <c r="H139" s="27" t="n">
        <v>19</v>
      </c>
      <c r="J139" s="27">
        <f>SUMPRODUCT(COUNTIFS(확률!$J$2:$J$46, 원본!B139:G139, 확률!$M$2:$M$46, "&lt;=20"))</f>
        <v/>
      </c>
      <c r="K139" s="27">
        <f>SUMPRODUCT(COUNTIFS(확률!$J$2:$J$46, 원본!B139:G139, 확률!$M$2:$M$46, "&gt;=36"))</f>
        <v/>
      </c>
      <c r="L139" s="27">
        <f>6-J139-K139</f>
        <v/>
      </c>
    </row>
    <row r="140" ht="16.5" customHeight="1" s="28">
      <c r="A140" s="31" t="n">
        <v>139</v>
      </c>
      <c r="B140" s="27" t="n">
        <v>9</v>
      </c>
      <c r="C140" s="27" t="n">
        <v>11</v>
      </c>
      <c r="D140" s="27" t="n">
        <v>15</v>
      </c>
      <c r="E140" s="27" t="n">
        <v>20</v>
      </c>
      <c r="F140" s="27" t="n">
        <v>28</v>
      </c>
      <c r="G140" s="27" t="n">
        <v>43</v>
      </c>
      <c r="H140" s="27" t="n">
        <v>13</v>
      </c>
      <c r="J140" s="27">
        <f>SUMPRODUCT(COUNTIFS(확률!$J$2:$J$46, 원본!B140:G140, 확률!$M$2:$M$46, "&lt;=20"))</f>
        <v/>
      </c>
      <c r="K140" s="27">
        <f>SUMPRODUCT(COUNTIFS(확률!$J$2:$J$46, 원본!B140:G140, 확률!$M$2:$M$46, "&gt;=36"))</f>
        <v/>
      </c>
      <c r="L140" s="27">
        <f>6-J140-K140</f>
        <v/>
      </c>
    </row>
    <row r="141" ht="16.5" customHeight="1" s="28">
      <c r="A141" s="31" t="n">
        <v>140</v>
      </c>
      <c r="B141" s="27" t="n">
        <v>3</v>
      </c>
      <c r="C141" s="27" t="n">
        <v>13</v>
      </c>
      <c r="D141" s="27" t="n">
        <v>17</v>
      </c>
      <c r="E141" s="27" t="n">
        <v>18</v>
      </c>
      <c r="F141" s="27" t="n">
        <v>19</v>
      </c>
      <c r="G141" s="27" t="n">
        <v>28</v>
      </c>
      <c r="H141" s="27" t="n">
        <v>8</v>
      </c>
      <c r="J141" s="27">
        <f>SUMPRODUCT(COUNTIFS(확률!$J$2:$J$46, 원본!B141:G141, 확률!$M$2:$M$46, "&lt;=20"))</f>
        <v/>
      </c>
      <c r="K141" s="27">
        <f>SUMPRODUCT(COUNTIFS(확률!$J$2:$J$46, 원본!B141:G141, 확률!$M$2:$M$46, "&gt;=36"))</f>
        <v/>
      </c>
      <c r="L141" s="27">
        <f>6-J141-K141</f>
        <v/>
      </c>
    </row>
    <row r="142" ht="16.5" customHeight="1" s="28">
      <c r="A142" s="31" t="n">
        <v>141</v>
      </c>
      <c r="B142" s="27" t="n">
        <v>8</v>
      </c>
      <c r="C142" s="27" t="n">
        <v>12</v>
      </c>
      <c r="D142" s="27" t="n">
        <v>29</v>
      </c>
      <c r="E142" s="27" t="n">
        <v>31</v>
      </c>
      <c r="F142" s="27" t="n">
        <v>42</v>
      </c>
      <c r="G142" s="27" t="n">
        <v>43</v>
      </c>
      <c r="H142" s="27" t="n">
        <v>2</v>
      </c>
      <c r="J142" s="27">
        <f>SUMPRODUCT(COUNTIFS(확률!$J$2:$J$46, 원본!B142:G142, 확률!$M$2:$M$46, "&lt;=20"))</f>
        <v/>
      </c>
      <c r="K142" s="27">
        <f>SUMPRODUCT(COUNTIFS(확률!$J$2:$J$46, 원본!B142:G142, 확률!$M$2:$M$46, "&gt;=36"))</f>
        <v/>
      </c>
      <c r="L142" s="27">
        <f>6-J142-K142</f>
        <v/>
      </c>
    </row>
    <row r="143" ht="16.5" customHeight="1" s="28">
      <c r="A143" s="31" t="n">
        <v>142</v>
      </c>
      <c r="B143" s="27" t="n">
        <v>12</v>
      </c>
      <c r="C143" s="27" t="n">
        <v>16</v>
      </c>
      <c r="D143" s="27" t="n">
        <v>30</v>
      </c>
      <c r="E143" s="27" t="n">
        <v>34</v>
      </c>
      <c r="F143" s="27" t="n">
        <v>40</v>
      </c>
      <c r="G143" s="27" t="n">
        <v>44</v>
      </c>
      <c r="H143" s="27" t="n">
        <v>19</v>
      </c>
      <c r="J143" s="27">
        <f>SUMPRODUCT(COUNTIFS(확률!$J$2:$J$46, 원본!B143:G143, 확률!$M$2:$M$46, "&lt;=20"))</f>
        <v/>
      </c>
      <c r="K143" s="27">
        <f>SUMPRODUCT(COUNTIFS(확률!$J$2:$J$46, 원본!B143:G143, 확률!$M$2:$M$46, "&gt;=36"))</f>
        <v/>
      </c>
      <c r="L143" s="27">
        <f>6-J143-K143</f>
        <v/>
      </c>
    </row>
    <row r="144" ht="16.5" customHeight="1" s="28">
      <c r="A144" s="31" t="n">
        <v>143</v>
      </c>
      <c r="B144" s="27" t="n">
        <v>26</v>
      </c>
      <c r="C144" s="27" t="n">
        <v>27</v>
      </c>
      <c r="D144" s="27" t="n">
        <v>28</v>
      </c>
      <c r="E144" s="27" t="n">
        <v>42</v>
      </c>
      <c r="F144" s="27" t="n">
        <v>43</v>
      </c>
      <c r="G144" s="27" t="n">
        <v>45</v>
      </c>
      <c r="H144" s="27" t="n">
        <v>8</v>
      </c>
      <c r="J144" s="27">
        <f>SUMPRODUCT(COUNTIFS(확률!$J$2:$J$46, 원본!B144:G144, 확률!$M$2:$M$46, "&lt;=20"))</f>
        <v/>
      </c>
      <c r="K144" s="27">
        <f>SUMPRODUCT(COUNTIFS(확률!$J$2:$J$46, 원본!B144:G144, 확률!$M$2:$M$46, "&gt;=36"))</f>
        <v/>
      </c>
      <c r="L144" s="27">
        <f>6-J144-K144</f>
        <v/>
      </c>
    </row>
    <row r="145" ht="16.5" customHeight="1" s="28">
      <c r="A145" s="31" t="n">
        <v>144</v>
      </c>
      <c r="B145" s="27" t="n">
        <v>4</v>
      </c>
      <c r="C145" s="27" t="n">
        <v>15</v>
      </c>
      <c r="D145" s="27" t="n">
        <v>17</v>
      </c>
      <c r="E145" s="27" t="n">
        <v>26</v>
      </c>
      <c r="F145" s="27" t="n">
        <v>36</v>
      </c>
      <c r="G145" s="27" t="n">
        <v>37</v>
      </c>
      <c r="H145" s="27" t="n">
        <v>43</v>
      </c>
      <c r="J145" s="27">
        <f>SUMPRODUCT(COUNTIFS(확률!$J$2:$J$46, 원본!B145:G145, 확률!$M$2:$M$46, "&lt;=20"))</f>
        <v/>
      </c>
      <c r="K145" s="27">
        <f>SUMPRODUCT(COUNTIFS(확률!$J$2:$J$46, 원본!B145:G145, 확률!$M$2:$M$46, "&gt;=36"))</f>
        <v/>
      </c>
      <c r="L145" s="27">
        <f>6-J145-K145</f>
        <v/>
      </c>
    </row>
    <row r="146" ht="16.5" customHeight="1" s="28">
      <c r="A146" s="31" t="n">
        <v>145</v>
      </c>
      <c r="B146" s="27" t="n">
        <v>2</v>
      </c>
      <c r="C146" s="27" t="n">
        <v>3</v>
      </c>
      <c r="D146" s="27" t="n">
        <v>13</v>
      </c>
      <c r="E146" s="27" t="n">
        <v>20</v>
      </c>
      <c r="F146" s="27" t="n">
        <v>27</v>
      </c>
      <c r="G146" s="27" t="n">
        <v>44</v>
      </c>
      <c r="H146" s="27" t="n">
        <v>9</v>
      </c>
      <c r="J146" s="27">
        <f>SUMPRODUCT(COUNTIFS(확률!$J$2:$J$46, 원본!B146:G146, 확률!$M$2:$M$46, "&lt;=20"))</f>
        <v/>
      </c>
      <c r="K146" s="27">
        <f>SUMPRODUCT(COUNTIFS(확률!$J$2:$J$46, 원본!B146:G146, 확률!$M$2:$M$46, "&gt;=36"))</f>
        <v/>
      </c>
      <c r="L146" s="27">
        <f>6-J146-K146</f>
        <v/>
      </c>
    </row>
    <row r="147" ht="16.5" customHeight="1" s="28">
      <c r="A147" s="31" t="n">
        <v>146</v>
      </c>
      <c r="B147" s="27" t="n">
        <v>2</v>
      </c>
      <c r="C147" s="27" t="n">
        <v>19</v>
      </c>
      <c r="D147" s="27" t="n">
        <v>27</v>
      </c>
      <c r="E147" s="27" t="n">
        <v>35</v>
      </c>
      <c r="F147" s="27" t="n">
        <v>41</v>
      </c>
      <c r="G147" s="27" t="n">
        <v>42</v>
      </c>
      <c r="H147" s="27" t="n">
        <v>25</v>
      </c>
      <c r="J147" s="27">
        <f>SUMPRODUCT(COUNTIFS(확률!$J$2:$J$46, 원본!B147:G147, 확률!$M$2:$M$46, "&lt;=20"))</f>
        <v/>
      </c>
      <c r="K147" s="27">
        <f>SUMPRODUCT(COUNTIFS(확률!$J$2:$J$46, 원본!B147:G147, 확률!$M$2:$M$46, "&gt;=36"))</f>
        <v/>
      </c>
      <c r="L147" s="27">
        <f>6-J147-K147</f>
        <v/>
      </c>
    </row>
    <row r="148" ht="16.5" customHeight="1" s="28">
      <c r="A148" s="31" t="n">
        <v>147</v>
      </c>
      <c r="B148" s="27" t="n">
        <v>4</v>
      </c>
      <c r="C148" s="27" t="n">
        <v>6</v>
      </c>
      <c r="D148" s="27" t="n">
        <v>13</v>
      </c>
      <c r="E148" s="27" t="n">
        <v>21</v>
      </c>
      <c r="F148" s="27" t="n">
        <v>40</v>
      </c>
      <c r="G148" s="27" t="n">
        <v>42</v>
      </c>
      <c r="H148" s="27" t="n">
        <v>36</v>
      </c>
      <c r="J148" s="27">
        <f>SUMPRODUCT(COUNTIFS(확률!$J$2:$J$46, 원본!B148:G148, 확률!$M$2:$M$46, "&lt;=20"))</f>
        <v/>
      </c>
      <c r="K148" s="27">
        <f>SUMPRODUCT(COUNTIFS(확률!$J$2:$J$46, 원본!B148:G148, 확률!$M$2:$M$46, "&gt;=36"))</f>
        <v/>
      </c>
      <c r="L148" s="27">
        <f>6-J148-K148</f>
        <v/>
      </c>
    </row>
    <row r="149" ht="16.5" customHeight="1" s="28">
      <c r="A149" s="31" t="n">
        <v>148</v>
      </c>
      <c r="B149" s="27" t="n">
        <v>21</v>
      </c>
      <c r="C149" s="27" t="n">
        <v>25</v>
      </c>
      <c r="D149" s="27" t="n">
        <v>33</v>
      </c>
      <c r="E149" s="27" t="n">
        <v>34</v>
      </c>
      <c r="F149" s="27" t="n">
        <v>35</v>
      </c>
      <c r="G149" s="27" t="n">
        <v>36</v>
      </c>
      <c r="H149" s="27" t="n">
        <v>17</v>
      </c>
      <c r="J149" s="27">
        <f>SUMPRODUCT(COUNTIFS(확률!$J$2:$J$46, 원본!B149:G149, 확률!$M$2:$M$46, "&lt;=20"))</f>
        <v/>
      </c>
      <c r="K149" s="27">
        <f>SUMPRODUCT(COUNTIFS(확률!$J$2:$J$46, 원본!B149:G149, 확률!$M$2:$M$46, "&gt;=36"))</f>
        <v/>
      </c>
      <c r="L149" s="27">
        <f>6-J149-K149</f>
        <v/>
      </c>
    </row>
    <row r="150" ht="16.5" customHeight="1" s="28">
      <c r="A150" s="31" t="n">
        <v>149</v>
      </c>
      <c r="B150" s="27" t="n">
        <v>2</v>
      </c>
      <c r="C150" s="27" t="n">
        <v>11</v>
      </c>
      <c r="D150" s="27" t="n">
        <v>21</v>
      </c>
      <c r="E150" s="27" t="n">
        <v>34</v>
      </c>
      <c r="F150" s="27" t="n">
        <v>41</v>
      </c>
      <c r="G150" s="27" t="n">
        <v>42</v>
      </c>
      <c r="H150" s="27" t="n">
        <v>27</v>
      </c>
      <c r="J150" s="27">
        <f>SUMPRODUCT(COUNTIFS(확률!$J$2:$J$46, 원본!B150:G150, 확률!$M$2:$M$46, "&lt;=20"))</f>
        <v/>
      </c>
      <c r="K150" s="27">
        <f>SUMPRODUCT(COUNTIFS(확률!$J$2:$J$46, 원본!B150:G150, 확률!$M$2:$M$46, "&gt;=36"))</f>
        <v/>
      </c>
      <c r="L150" s="27">
        <f>6-J150-K150</f>
        <v/>
      </c>
    </row>
    <row r="151" ht="16.5" customHeight="1" s="28">
      <c r="A151" s="31" t="n">
        <v>150</v>
      </c>
      <c r="B151" s="27" t="n">
        <v>2</v>
      </c>
      <c r="C151" s="27" t="n">
        <v>18</v>
      </c>
      <c r="D151" s="27" t="n">
        <v>25</v>
      </c>
      <c r="E151" s="27" t="n">
        <v>28</v>
      </c>
      <c r="F151" s="27" t="n">
        <v>37</v>
      </c>
      <c r="G151" s="27" t="n">
        <v>39</v>
      </c>
      <c r="H151" s="27" t="n">
        <v>16</v>
      </c>
      <c r="J151" s="27">
        <f>SUMPRODUCT(COUNTIFS(확률!$J$2:$J$46, 원본!B151:G151, 확률!$M$2:$M$46, "&lt;=20"))</f>
        <v/>
      </c>
      <c r="K151" s="27">
        <f>SUMPRODUCT(COUNTIFS(확률!$J$2:$J$46, 원본!B151:G151, 확률!$M$2:$M$46, "&gt;=36"))</f>
        <v/>
      </c>
      <c r="L151" s="27">
        <f>6-J151-K151</f>
        <v/>
      </c>
    </row>
    <row r="152" ht="16.5" customHeight="1" s="28">
      <c r="A152" s="31" t="n">
        <v>151</v>
      </c>
      <c r="B152" s="27" t="n">
        <v>1</v>
      </c>
      <c r="C152" s="27" t="n">
        <v>2</v>
      </c>
      <c r="D152" s="27" t="n">
        <v>10</v>
      </c>
      <c r="E152" s="27" t="n">
        <v>13</v>
      </c>
      <c r="F152" s="27" t="n">
        <v>18</v>
      </c>
      <c r="G152" s="27" t="n">
        <v>19</v>
      </c>
      <c r="H152" s="27" t="n">
        <v>15</v>
      </c>
      <c r="J152" s="27">
        <f>SUMPRODUCT(COUNTIFS(확률!$J$2:$J$46, 원본!B152:G152, 확률!$M$2:$M$46, "&lt;=20"))</f>
        <v/>
      </c>
      <c r="K152" s="27">
        <f>SUMPRODUCT(COUNTIFS(확률!$J$2:$J$46, 원본!B152:G152, 확률!$M$2:$M$46, "&gt;=36"))</f>
        <v/>
      </c>
      <c r="L152" s="27">
        <f>6-J152-K152</f>
        <v/>
      </c>
    </row>
    <row r="153" ht="16.5" customHeight="1" s="28">
      <c r="A153" s="31" t="n">
        <v>152</v>
      </c>
      <c r="B153" s="27" t="n">
        <v>1</v>
      </c>
      <c r="C153" s="27" t="n">
        <v>5</v>
      </c>
      <c r="D153" s="27" t="n">
        <v>13</v>
      </c>
      <c r="E153" s="27" t="n">
        <v>26</v>
      </c>
      <c r="F153" s="27" t="n">
        <v>29</v>
      </c>
      <c r="G153" s="27" t="n">
        <v>34</v>
      </c>
      <c r="H153" s="27" t="n">
        <v>43</v>
      </c>
      <c r="J153" s="27">
        <f>SUMPRODUCT(COUNTIFS(확률!$J$2:$J$46, 원본!B153:G153, 확률!$M$2:$M$46, "&lt;=20"))</f>
        <v/>
      </c>
      <c r="K153" s="27">
        <f>SUMPRODUCT(COUNTIFS(확률!$J$2:$J$46, 원본!B153:G153, 확률!$M$2:$M$46, "&gt;=36"))</f>
        <v/>
      </c>
      <c r="L153" s="27">
        <f>6-J153-K153</f>
        <v/>
      </c>
    </row>
    <row r="154" ht="16.5" customHeight="1" s="28">
      <c r="A154" s="31" t="n">
        <v>153</v>
      </c>
      <c r="B154" s="27" t="n">
        <v>3</v>
      </c>
      <c r="C154" s="27" t="n">
        <v>8</v>
      </c>
      <c r="D154" s="27" t="n">
        <v>11</v>
      </c>
      <c r="E154" s="27" t="n">
        <v>12</v>
      </c>
      <c r="F154" s="27" t="n">
        <v>13</v>
      </c>
      <c r="G154" s="27" t="n">
        <v>36</v>
      </c>
      <c r="H154" s="27" t="n">
        <v>33</v>
      </c>
      <c r="J154" s="27">
        <f>SUMPRODUCT(COUNTIFS(확률!$J$2:$J$46, 원본!B154:G154, 확률!$M$2:$M$46, "&lt;=20"))</f>
        <v/>
      </c>
      <c r="K154" s="27">
        <f>SUMPRODUCT(COUNTIFS(확률!$J$2:$J$46, 원본!B154:G154, 확률!$M$2:$M$46, "&gt;=36"))</f>
        <v/>
      </c>
      <c r="L154" s="27">
        <f>6-J154-K154</f>
        <v/>
      </c>
    </row>
    <row r="155" ht="16.5" customHeight="1" s="28">
      <c r="A155" s="31" t="n">
        <v>154</v>
      </c>
      <c r="B155" s="27" t="n">
        <v>6</v>
      </c>
      <c r="C155" s="27" t="n">
        <v>19</v>
      </c>
      <c r="D155" s="27" t="n">
        <v>21</v>
      </c>
      <c r="E155" s="27" t="n">
        <v>35</v>
      </c>
      <c r="F155" s="27" t="n">
        <v>40</v>
      </c>
      <c r="G155" s="27" t="n">
        <v>45</v>
      </c>
      <c r="H155" s="27" t="n">
        <v>20</v>
      </c>
      <c r="J155" s="27">
        <f>SUMPRODUCT(COUNTIFS(확률!$J$2:$J$46, 원본!B155:G155, 확률!$M$2:$M$46, "&lt;=20"))</f>
        <v/>
      </c>
      <c r="K155" s="27">
        <f>SUMPRODUCT(COUNTIFS(확률!$J$2:$J$46, 원본!B155:G155, 확률!$M$2:$M$46, "&gt;=36"))</f>
        <v/>
      </c>
      <c r="L155" s="27">
        <f>6-J155-K155</f>
        <v/>
      </c>
    </row>
    <row r="156" ht="16.5" customHeight="1" s="28">
      <c r="A156" s="31" t="n">
        <v>155</v>
      </c>
      <c r="B156" s="27" t="n">
        <v>16</v>
      </c>
      <c r="C156" s="27" t="n">
        <v>19</v>
      </c>
      <c r="D156" s="27" t="n">
        <v>20</v>
      </c>
      <c r="E156" s="27" t="n">
        <v>32</v>
      </c>
      <c r="F156" s="27" t="n">
        <v>33</v>
      </c>
      <c r="G156" s="27" t="n">
        <v>41</v>
      </c>
      <c r="H156" s="27" t="n">
        <v>4</v>
      </c>
      <c r="J156" s="27">
        <f>SUMPRODUCT(COUNTIFS(확률!$J$2:$J$46, 원본!B156:G156, 확률!$M$2:$M$46, "&lt;=20"))</f>
        <v/>
      </c>
      <c r="K156" s="27">
        <f>SUMPRODUCT(COUNTIFS(확률!$J$2:$J$46, 원본!B156:G156, 확률!$M$2:$M$46, "&gt;=36"))</f>
        <v/>
      </c>
      <c r="L156" s="27">
        <f>6-J156-K156</f>
        <v/>
      </c>
    </row>
    <row r="157" ht="16.5" customHeight="1" s="28">
      <c r="A157" s="31" t="n">
        <v>156</v>
      </c>
      <c r="B157" s="27" t="n">
        <v>5</v>
      </c>
      <c r="C157" s="27" t="n">
        <v>18</v>
      </c>
      <c r="D157" s="27" t="n">
        <v>28</v>
      </c>
      <c r="E157" s="27" t="n">
        <v>30</v>
      </c>
      <c r="F157" s="27" t="n">
        <v>42</v>
      </c>
      <c r="G157" s="27" t="n">
        <v>45</v>
      </c>
      <c r="H157" s="27" t="n">
        <v>2</v>
      </c>
      <c r="J157" s="27">
        <f>SUMPRODUCT(COUNTIFS(확률!$J$2:$J$46, 원본!B157:G157, 확률!$M$2:$M$46, "&lt;=20"))</f>
        <v/>
      </c>
      <c r="K157" s="27">
        <f>SUMPRODUCT(COUNTIFS(확률!$J$2:$J$46, 원본!B157:G157, 확률!$M$2:$M$46, "&gt;=36"))</f>
        <v/>
      </c>
      <c r="L157" s="27">
        <f>6-J157-K157</f>
        <v/>
      </c>
    </row>
    <row r="158" ht="16.5" customHeight="1" s="28">
      <c r="A158" s="31" t="n">
        <v>157</v>
      </c>
      <c r="B158" s="27" t="n">
        <v>19</v>
      </c>
      <c r="C158" s="27" t="n">
        <v>26</v>
      </c>
      <c r="D158" s="27" t="n">
        <v>30</v>
      </c>
      <c r="E158" s="27" t="n">
        <v>33</v>
      </c>
      <c r="F158" s="27" t="n">
        <v>35</v>
      </c>
      <c r="G158" s="27" t="n">
        <v>39</v>
      </c>
      <c r="H158" s="27" t="n">
        <v>37</v>
      </c>
      <c r="J158" s="27">
        <f>SUMPRODUCT(COUNTIFS(확률!$J$2:$J$46, 원본!B158:G158, 확률!$M$2:$M$46, "&lt;=20"))</f>
        <v/>
      </c>
      <c r="K158" s="27">
        <f>SUMPRODUCT(COUNTIFS(확률!$J$2:$J$46, 원본!B158:G158, 확률!$M$2:$M$46, "&gt;=36"))</f>
        <v/>
      </c>
      <c r="L158" s="27">
        <f>6-J158-K158</f>
        <v/>
      </c>
    </row>
    <row r="159" ht="16.5" customHeight="1" s="28">
      <c r="A159" s="31" t="n">
        <v>158</v>
      </c>
      <c r="B159" s="27" t="n">
        <v>4</v>
      </c>
      <c r="C159" s="27" t="n">
        <v>9</v>
      </c>
      <c r="D159" s="27" t="n">
        <v>13</v>
      </c>
      <c r="E159" s="27" t="n">
        <v>18</v>
      </c>
      <c r="F159" s="27" t="n">
        <v>21</v>
      </c>
      <c r="G159" s="27" t="n">
        <v>34</v>
      </c>
      <c r="H159" s="27" t="n">
        <v>7</v>
      </c>
      <c r="J159" s="27">
        <f>SUMPRODUCT(COUNTIFS(확률!$J$2:$J$46, 원본!B159:G159, 확률!$M$2:$M$46, "&lt;=20"))</f>
        <v/>
      </c>
      <c r="K159" s="27">
        <f>SUMPRODUCT(COUNTIFS(확률!$J$2:$J$46, 원본!B159:G159, 확률!$M$2:$M$46, "&gt;=36"))</f>
        <v/>
      </c>
      <c r="L159" s="27">
        <f>6-J159-K159</f>
        <v/>
      </c>
    </row>
    <row r="160" ht="16.5" customHeight="1" s="28">
      <c r="A160" s="31" t="n">
        <v>159</v>
      </c>
      <c r="B160" s="27" t="n">
        <v>1</v>
      </c>
      <c r="C160" s="27" t="n">
        <v>18</v>
      </c>
      <c r="D160" s="27" t="n">
        <v>30</v>
      </c>
      <c r="E160" s="27" t="n">
        <v>41</v>
      </c>
      <c r="F160" s="27" t="n">
        <v>42</v>
      </c>
      <c r="G160" s="27" t="n">
        <v>43</v>
      </c>
      <c r="H160" s="27" t="n">
        <v>32</v>
      </c>
      <c r="J160" s="27">
        <f>SUMPRODUCT(COUNTIFS(확률!$J$2:$J$46, 원본!B160:G160, 확률!$M$2:$M$46, "&lt;=20"))</f>
        <v/>
      </c>
      <c r="K160" s="27">
        <f>SUMPRODUCT(COUNTIFS(확률!$J$2:$J$46, 원본!B160:G160, 확률!$M$2:$M$46, "&gt;=36"))</f>
        <v/>
      </c>
      <c r="L160" s="27">
        <f>6-J160-K160</f>
        <v/>
      </c>
    </row>
    <row r="161" ht="16.5" customHeight="1" s="28">
      <c r="A161" s="31" t="n">
        <v>160</v>
      </c>
      <c r="B161" s="27" t="n">
        <v>3</v>
      </c>
      <c r="C161" s="27" t="n">
        <v>7</v>
      </c>
      <c r="D161" s="27" t="n">
        <v>8</v>
      </c>
      <c r="E161" s="27" t="n">
        <v>34</v>
      </c>
      <c r="F161" s="27" t="n">
        <v>39</v>
      </c>
      <c r="G161" s="27" t="n">
        <v>41</v>
      </c>
      <c r="H161" s="27" t="n">
        <v>1</v>
      </c>
      <c r="J161" s="27">
        <f>SUMPRODUCT(COUNTIFS(확률!$J$2:$J$46, 원본!B161:G161, 확률!$M$2:$M$46, "&lt;=20"))</f>
        <v/>
      </c>
      <c r="K161" s="27">
        <f>SUMPRODUCT(COUNTIFS(확률!$J$2:$J$46, 원본!B161:G161, 확률!$M$2:$M$46, "&gt;=36"))</f>
        <v/>
      </c>
      <c r="L161" s="27">
        <f>6-J161-K161</f>
        <v/>
      </c>
    </row>
    <row r="162" ht="16.5" customHeight="1" s="28">
      <c r="A162" s="31" t="n">
        <v>161</v>
      </c>
      <c r="B162" s="27" t="n">
        <v>22</v>
      </c>
      <c r="C162" s="27" t="n">
        <v>34</v>
      </c>
      <c r="D162" s="27" t="n">
        <v>36</v>
      </c>
      <c r="E162" s="27" t="n">
        <v>40</v>
      </c>
      <c r="F162" s="27" t="n">
        <v>42</v>
      </c>
      <c r="G162" s="27" t="n">
        <v>45</v>
      </c>
      <c r="H162" s="27" t="n">
        <v>44</v>
      </c>
      <c r="J162" s="27">
        <f>SUMPRODUCT(COUNTIFS(확률!$J$2:$J$46, 원본!B162:G162, 확률!$M$2:$M$46, "&lt;=20"))</f>
        <v/>
      </c>
      <c r="K162" s="27">
        <f>SUMPRODUCT(COUNTIFS(확률!$J$2:$J$46, 원본!B162:G162, 확률!$M$2:$M$46, "&gt;=36"))</f>
        <v/>
      </c>
      <c r="L162" s="27">
        <f>6-J162-K162</f>
        <v/>
      </c>
    </row>
    <row r="163" ht="16.5" customHeight="1" s="28">
      <c r="A163" s="31" t="n">
        <v>162</v>
      </c>
      <c r="B163" s="27" t="n">
        <v>1</v>
      </c>
      <c r="C163" s="27" t="n">
        <v>5</v>
      </c>
      <c r="D163" s="27" t="n">
        <v>21</v>
      </c>
      <c r="E163" s="27" t="n">
        <v>25</v>
      </c>
      <c r="F163" s="27" t="n">
        <v>38</v>
      </c>
      <c r="G163" s="27" t="n">
        <v>41</v>
      </c>
      <c r="H163" s="27" t="n">
        <v>24</v>
      </c>
      <c r="J163" s="27">
        <f>SUMPRODUCT(COUNTIFS(확률!$J$2:$J$46, 원본!B163:G163, 확률!$M$2:$M$46, "&lt;=20"))</f>
        <v/>
      </c>
      <c r="K163" s="27">
        <f>SUMPRODUCT(COUNTIFS(확률!$J$2:$J$46, 원본!B163:G163, 확률!$M$2:$M$46, "&gt;=36"))</f>
        <v/>
      </c>
      <c r="L163" s="27">
        <f>6-J163-K163</f>
        <v/>
      </c>
    </row>
    <row r="164" ht="16.5" customHeight="1" s="28">
      <c r="A164" s="31" t="n">
        <v>163</v>
      </c>
      <c r="B164" s="27" t="n">
        <v>7</v>
      </c>
      <c r="C164" s="27" t="n">
        <v>11</v>
      </c>
      <c r="D164" s="27" t="n">
        <v>26</v>
      </c>
      <c r="E164" s="27" t="n">
        <v>28</v>
      </c>
      <c r="F164" s="27" t="n">
        <v>29</v>
      </c>
      <c r="G164" s="27" t="n">
        <v>44</v>
      </c>
      <c r="H164" s="27" t="n">
        <v>16</v>
      </c>
      <c r="J164" s="27">
        <f>SUMPRODUCT(COUNTIFS(확률!$J$2:$J$46, 원본!B164:G164, 확률!$M$2:$M$46, "&lt;=20"))</f>
        <v/>
      </c>
      <c r="K164" s="27">
        <f>SUMPRODUCT(COUNTIFS(확률!$J$2:$J$46, 원본!B164:G164, 확률!$M$2:$M$46, "&gt;=36"))</f>
        <v/>
      </c>
      <c r="L164" s="27">
        <f>6-J164-K164</f>
        <v/>
      </c>
    </row>
    <row r="165" ht="16.5" customHeight="1" s="28">
      <c r="A165" s="31" t="n">
        <v>164</v>
      </c>
      <c r="B165" s="27" t="n">
        <v>6</v>
      </c>
      <c r="C165" s="27" t="n">
        <v>9</v>
      </c>
      <c r="D165" s="27" t="n">
        <v>10</v>
      </c>
      <c r="E165" s="27" t="n">
        <v>11</v>
      </c>
      <c r="F165" s="27" t="n">
        <v>39</v>
      </c>
      <c r="G165" s="27" t="n">
        <v>41</v>
      </c>
      <c r="H165" s="27" t="n">
        <v>27</v>
      </c>
      <c r="J165" s="27">
        <f>SUMPRODUCT(COUNTIFS(확률!$J$2:$J$46, 원본!B165:G165, 확률!$M$2:$M$46, "&lt;=20"))</f>
        <v/>
      </c>
      <c r="K165" s="27">
        <f>SUMPRODUCT(COUNTIFS(확률!$J$2:$J$46, 원본!B165:G165, 확률!$M$2:$M$46, "&gt;=36"))</f>
        <v/>
      </c>
      <c r="L165" s="27">
        <f>6-J165-K165</f>
        <v/>
      </c>
    </row>
    <row r="166" ht="16.5" customHeight="1" s="28">
      <c r="A166" s="31" t="n">
        <v>165</v>
      </c>
      <c r="B166" s="27" t="n">
        <v>5</v>
      </c>
      <c r="C166" s="27" t="n">
        <v>13</v>
      </c>
      <c r="D166" s="27" t="n">
        <v>18</v>
      </c>
      <c r="E166" s="27" t="n">
        <v>19</v>
      </c>
      <c r="F166" s="27" t="n">
        <v>22</v>
      </c>
      <c r="G166" s="27" t="n">
        <v>42</v>
      </c>
      <c r="H166" s="27" t="n">
        <v>31</v>
      </c>
      <c r="J166" s="27">
        <f>SUMPRODUCT(COUNTIFS(확률!$J$2:$J$46, 원본!B166:G166, 확률!$M$2:$M$46, "&lt;=20"))</f>
        <v/>
      </c>
      <c r="K166" s="27">
        <f>SUMPRODUCT(COUNTIFS(확률!$J$2:$J$46, 원본!B166:G166, 확률!$M$2:$M$46, "&gt;=36"))</f>
        <v/>
      </c>
      <c r="L166" s="27">
        <f>6-J166-K166</f>
        <v/>
      </c>
    </row>
    <row r="167" ht="16.5" customHeight="1" s="28">
      <c r="A167" s="31" t="n">
        <v>166</v>
      </c>
      <c r="B167" s="27" t="n">
        <v>9</v>
      </c>
      <c r="C167" s="27" t="n">
        <v>12</v>
      </c>
      <c r="D167" s="27" t="n">
        <v>27</v>
      </c>
      <c r="E167" s="27" t="n">
        <v>36</v>
      </c>
      <c r="F167" s="27" t="n">
        <v>39</v>
      </c>
      <c r="G167" s="27" t="n">
        <v>45</v>
      </c>
      <c r="H167" s="27" t="n">
        <v>14</v>
      </c>
      <c r="J167" s="27">
        <f>SUMPRODUCT(COUNTIFS(확률!$J$2:$J$46, 원본!B167:G167, 확률!$M$2:$M$46, "&lt;=20"))</f>
        <v/>
      </c>
      <c r="K167" s="27">
        <f>SUMPRODUCT(COUNTIFS(확률!$J$2:$J$46, 원본!B167:G167, 확률!$M$2:$M$46, "&gt;=36"))</f>
        <v/>
      </c>
      <c r="L167" s="27">
        <f>6-J167-K167</f>
        <v/>
      </c>
    </row>
    <row r="168" ht="16.5" customHeight="1" s="28">
      <c r="A168" s="31" t="n">
        <v>167</v>
      </c>
      <c r="B168" s="27" t="n">
        <v>24</v>
      </c>
      <c r="C168" s="27" t="n">
        <v>27</v>
      </c>
      <c r="D168" s="27" t="n">
        <v>28</v>
      </c>
      <c r="E168" s="27" t="n">
        <v>30</v>
      </c>
      <c r="F168" s="27" t="n">
        <v>36</v>
      </c>
      <c r="G168" s="27" t="n">
        <v>39</v>
      </c>
      <c r="H168" s="27" t="n">
        <v>4</v>
      </c>
      <c r="J168" s="27">
        <f>SUMPRODUCT(COUNTIFS(확률!$J$2:$J$46, 원본!B168:G168, 확률!$M$2:$M$46, "&lt;=20"))</f>
        <v/>
      </c>
      <c r="K168" s="27">
        <f>SUMPRODUCT(COUNTIFS(확률!$J$2:$J$46, 원본!B168:G168, 확률!$M$2:$M$46, "&gt;=36"))</f>
        <v/>
      </c>
      <c r="L168" s="27">
        <f>6-J168-K168</f>
        <v/>
      </c>
    </row>
    <row r="169" ht="16.5" customHeight="1" s="28">
      <c r="A169" s="31" t="n">
        <v>168</v>
      </c>
      <c r="B169" s="27" t="n">
        <v>3</v>
      </c>
      <c r="C169" s="27" t="n">
        <v>10</v>
      </c>
      <c r="D169" s="27" t="n">
        <v>31</v>
      </c>
      <c r="E169" s="27" t="n">
        <v>40</v>
      </c>
      <c r="F169" s="27" t="n">
        <v>42</v>
      </c>
      <c r="G169" s="27" t="n">
        <v>43</v>
      </c>
      <c r="H169" s="27" t="n">
        <v>30</v>
      </c>
      <c r="J169" s="27">
        <f>SUMPRODUCT(COUNTIFS(확률!$J$2:$J$46, 원본!B169:G169, 확률!$M$2:$M$46, "&lt;=20"))</f>
        <v/>
      </c>
      <c r="K169" s="27">
        <f>SUMPRODUCT(COUNTIFS(확률!$J$2:$J$46, 원본!B169:G169, 확률!$M$2:$M$46, "&gt;=36"))</f>
        <v/>
      </c>
      <c r="L169" s="27">
        <f>6-J169-K169</f>
        <v/>
      </c>
    </row>
    <row r="170" ht="16.5" customHeight="1" s="28">
      <c r="A170" s="31" t="n">
        <v>169</v>
      </c>
      <c r="B170" s="27" t="n">
        <v>16</v>
      </c>
      <c r="C170" s="27" t="n">
        <v>27</v>
      </c>
      <c r="D170" s="27" t="n">
        <v>35</v>
      </c>
      <c r="E170" s="27" t="n">
        <v>37</v>
      </c>
      <c r="F170" s="27" t="n">
        <v>43</v>
      </c>
      <c r="G170" s="27" t="n">
        <v>45</v>
      </c>
      <c r="H170" s="27" t="n">
        <v>19</v>
      </c>
      <c r="J170" s="27">
        <f>SUMPRODUCT(COUNTIFS(확률!$J$2:$J$46, 원본!B170:G170, 확률!$M$2:$M$46, "&lt;=20"))</f>
        <v/>
      </c>
      <c r="K170" s="27">
        <f>SUMPRODUCT(COUNTIFS(확률!$J$2:$J$46, 원본!B170:G170, 확률!$M$2:$M$46, "&gt;=36"))</f>
        <v/>
      </c>
      <c r="L170" s="27">
        <f>6-J170-K170</f>
        <v/>
      </c>
    </row>
    <row r="171" ht="16.5" customHeight="1" s="28">
      <c r="A171" s="31" t="n">
        <v>170</v>
      </c>
      <c r="B171" s="27" t="n">
        <v>2</v>
      </c>
      <c r="C171" s="27" t="n">
        <v>11</v>
      </c>
      <c r="D171" s="27" t="n">
        <v>13</v>
      </c>
      <c r="E171" s="27" t="n">
        <v>15</v>
      </c>
      <c r="F171" s="27" t="n">
        <v>31</v>
      </c>
      <c r="G171" s="27" t="n">
        <v>42</v>
      </c>
      <c r="H171" s="27" t="n">
        <v>10</v>
      </c>
      <c r="J171" s="27">
        <f>SUMPRODUCT(COUNTIFS(확률!$J$2:$J$46, 원본!B171:G171, 확률!$M$2:$M$46, "&lt;=20"))</f>
        <v/>
      </c>
      <c r="K171" s="27">
        <f>SUMPRODUCT(COUNTIFS(확률!$J$2:$J$46, 원본!B171:G171, 확률!$M$2:$M$46, "&gt;=36"))</f>
        <v/>
      </c>
      <c r="L171" s="27">
        <f>6-J171-K171</f>
        <v/>
      </c>
    </row>
    <row r="172" ht="16.5" customHeight="1" s="28">
      <c r="A172" s="31" t="n">
        <v>171</v>
      </c>
      <c r="B172" s="27" t="n">
        <v>4</v>
      </c>
      <c r="C172" s="27" t="n">
        <v>16</v>
      </c>
      <c r="D172" s="27" t="n">
        <v>25</v>
      </c>
      <c r="E172" s="27" t="n">
        <v>29</v>
      </c>
      <c r="F172" s="27" t="n">
        <v>34</v>
      </c>
      <c r="G172" s="27" t="n">
        <v>35</v>
      </c>
      <c r="H172" s="27" t="n">
        <v>1</v>
      </c>
      <c r="J172" s="27">
        <f>SUMPRODUCT(COUNTIFS(확률!$J$2:$J$46, 원본!B172:G172, 확률!$M$2:$M$46, "&lt;=20"))</f>
        <v/>
      </c>
      <c r="K172" s="27">
        <f>SUMPRODUCT(COUNTIFS(확률!$J$2:$J$46, 원본!B172:G172, 확률!$M$2:$M$46, "&gt;=36"))</f>
        <v/>
      </c>
      <c r="L172" s="27">
        <f>6-J172-K172</f>
        <v/>
      </c>
    </row>
    <row r="173" ht="16.5" customHeight="1" s="28">
      <c r="A173" s="31" t="n">
        <v>172</v>
      </c>
      <c r="B173" s="27" t="n">
        <v>4</v>
      </c>
      <c r="C173" s="27" t="n">
        <v>19</v>
      </c>
      <c r="D173" s="27" t="n">
        <v>21</v>
      </c>
      <c r="E173" s="27" t="n">
        <v>24</v>
      </c>
      <c r="F173" s="27" t="n">
        <v>26</v>
      </c>
      <c r="G173" s="27" t="n">
        <v>41</v>
      </c>
      <c r="H173" s="27" t="n">
        <v>35</v>
      </c>
      <c r="J173" s="27">
        <f>SUMPRODUCT(COUNTIFS(확률!$J$2:$J$46, 원본!B173:G173, 확률!$M$2:$M$46, "&lt;=20"))</f>
        <v/>
      </c>
      <c r="K173" s="27">
        <f>SUMPRODUCT(COUNTIFS(확률!$J$2:$J$46, 원본!B173:G173, 확률!$M$2:$M$46, "&gt;=36"))</f>
        <v/>
      </c>
      <c r="L173" s="27">
        <f>6-J173-K173</f>
        <v/>
      </c>
    </row>
    <row r="174" ht="16.5" customHeight="1" s="28">
      <c r="A174" s="31" t="n">
        <v>173</v>
      </c>
      <c r="B174" s="27" t="n">
        <v>3</v>
      </c>
      <c r="C174" s="27" t="n">
        <v>9</v>
      </c>
      <c r="D174" s="27" t="n">
        <v>24</v>
      </c>
      <c r="E174" s="27" t="n">
        <v>30</v>
      </c>
      <c r="F174" s="27" t="n">
        <v>33</v>
      </c>
      <c r="G174" s="27" t="n">
        <v>34</v>
      </c>
      <c r="H174" s="27" t="n">
        <v>18</v>
      </c>
      <c r="J174" s="27">
        <f>SUMPRODUCT(COUNTIFS(확률!$J$2:$J$46, 원본!B174:G174, 확률!$M$2:$M$46, "&lt;=20"))</f>
        <v/>
      </c>
      <c r="K174" s="27">
        <f>SUMPRODUCT(COUNTIFS(확률!$J$2:$J$46, 원본!B174:G174, 확률!$M$2:$M$46, "&gt;=36"))</f>
        <v/>
      </c>
      <c r="L174" s="27">
        <f>6-J174-K174</f>
        <v/>
      </c>
    </row>
    <row r="175" ht="16.5" customHeight="1" s="28">
      <c r="A175" s="31" t="n">
        <v>174</v>
      </c>
      <c r="B175" s="27" t="n">
        <v>13</v>
      </c>
      <c r="C175" s="27" t="n">
        <v>14</v>
      </c>
      <c r="D175" s="27" t="n">
        <v>18</v>
      </c>
      <c r="E175" s="27" t="n">
        <v>22</v>
      </c>
      <c r="F175" s="27" t="n">
        <v>35</v>
      </c>
      <c r="G175" s="27" t="n">
        <v>39</v>
      </c>
      <c r="H175" s="27" t="n">
        <v>16</v>
      </c>
      <c r="J175" s="27">
        <f>SUMPRODUCT(COUNTIFS(확률!$J$2:$J$46, 원본!B175:G175, 확률!$M$2:$M$46, "&lt;=20"))</f>
        <v/>
      </c>
      <c r="K175" s="27">
        <f>SUMPRODUCT(COUNTIFS(확률!$J$2:$J$46, 원본!B175:G175, 확률!$M$2:$M$46, "&gt;=36"))</f>
        <v/>
      </c>
      <c r="L175" s="27">
        <f>6-J175-K175</f>
        <v/>
      </c>
    </row>
    <row r="176" ht="16.5" customHeight="1" s="28">
      <c r="A176" s="31" t="n">
        <v>175</v>
      </c>
      <c r="B176" s="27" t="n">
        <v>19</v>
      </c>
      <c r="C176" s="27" t="n">
        <v>26</v>
      </c>
      <c r="D176" s="27" t="n">
        <v>28</v>
      </c>
      <c r="E176" s="27" t="n">
        <v>31</v>
      </c>
      <c r="F176" s="27" t="n">
        <v>33</v>
      </c>
      <c r="G176" s="27" t="n">
        <v>36</v>
      </c>
      <c r="H176" s="27" t="n">
        <v>17</v>
      </c>
      <c r="J176" s="27">
        <f>SUMPRODUCT(COUNTIFS(확률!$J$2:$J$46, 원본!B176:G176, 확률!$M$2:$M$46, "&lt;=20"))</f>
        <v/>
      </c>
      <c r="K176" s="27">
        <f>SUMPRODUCT(COUNTIFS(확률!$J$2:$J$46, 원본!B176:G176, 확률!$M$2:$M$46, "&gt;=36"))</f>
        <v/>
      </c>
      <c r="L176" s="27">
        <f>6-J176-K176</f>
        <v/>
      </c>
    </row>
    <row r="177" ht="16.5" customHeight="1" s="28">
      <c r="A177" s="31" t="n">
        <v>176</v>
      </c>
      <c r="B177" s="27" t="n">
        <v>4</v>
      </c>
      <c r="C177" s="27" t="n">
        <v>18</v>
      </c>
      <c r="D177" s="27" t="n">
        <v>30</v>
      </c>
      <c r="E177" s="27" t="n">
        <v>32</v>
      </c>
      <c r="F177" s="27" t="n">
        <v>33</v>
      </c>
      <c r="G177" s="27" t="n">
        <v>34</v>
      </c>
      <c r="H177" s="27" t="n">
        <v>15</v>
      </c>
      <c r="J177" s="27">
        <f>SUMPRODUCT(COUNTIFS(확률!$J$2:$J$46, 원본!B177:G177, 확률!$M$2:$M$46, "&lt;=20"))</f>
        <v/>
      </c>
      <c r="K177" s="27">
        <f>SUMPRODUCT(COUNTIFS(확률!$J$2:$J$46, 원본!B177:G177, 확률!$M$2:$M$46, "&gt;=36"))</f>
        <v/>
      </c>
      <c r="L177" s="27">
        <f>6-J177-K177</f>
        <v/>
      </c>
    </row>
    <row r="178" ht="16.5" customHeight="1" s="28">
      <c r="A178" s="31" t="n">
        <v>177</v>
      </c>
      <c r="B178" s="27" t="n">
        <v>1</v>
      </c>
      <c r="C178" s="27" t="n">
        <v>10</v>
      </c>
      <c r="D178" s="27" t="n">
        <v>13</v>
      </c>
      <c r="E178" s="27" t="n">
        <v>16</v>
      </c>
      <c r="F178" s="27" t="n">
        <v>37</v>
      </c>
      <c r="G178" s="27" t="n">
        <v>43</v>
      </c>
      <c r="H178" s="27" t="n">
        <v>6</v>
      </c>
      <c r="J178" s="27">
        <f>SUMPRODUCT(COUNTIFS(확률!$J$2:$J$46, 원본!B178:G178, 확률!$M$2:$M$46, "&lt;=20"))</f>
        <v/>
      </c>
      <c r="K178" s="27">
        <f>SUMPRODUCT(COUNTIFS(확률!$J$2:$J$46, 원본!B178:G178, 확률!$M$2:$M$46, "&gt;=36"))</f>
        <v/>
      </c>
      <c r="L178" s="27">
        <f>6-J178-K178</f>
        <v/>
      </c>
    </row>
    <row r="179" ht="16.5" customHeight="1" s="28">
      <c r="A179" s="31" t="n">
        <v>178</v>
      </c>
      <c r="B179" s="27" t="n">
        <v>1</v>
      </c>
      <c r="C179" s="27" t="n">
        <v>5</v>
      </c>
      <c r="D179" s="27" t="n">
        <v>11</v>
      </c>
      <c r="E179" s="27" t="n">
        <v>12</v>
      </c>
      <c r="F179" s="27" t="n">
        <v>18</v>
      </c>
      <c r="G179" s="27" t="n">
        <v>23</v>
      </c>
      <c r="H179" s="27" t="n">
        <v>9</v>
      </c>
      <c r="J179" s="27">
        <f>SUMPRODUCT(COUNTIFS(확률!$J$2:$J$46, 원본!B179:G179, 확률!$M$2:$M$46, "&lt;=20"))</f>
        <v/>
      </c>
      <c r="K179" s="27">
        <f>SUMPRODUCT(COUNTIFS(확률!$J$2:$J$46, 원본!B179:G179, 확률!$M$2:$M$46, "&gt;=36"))</f>
        <v/>
      </c>
      <c r="L179" s="27">
        <f>6-J179-K179</f>
        <v/>
      </c>
    </row>
    <row r="180" ht="16.5" customHeight="1" s="28">
      <c r="A180" s="31" t="n">
        <v>179</v>
      </c>
      <c r="B180" s="27" t="n">
        <v>5</v>
      </c>
      <c r="C180" s="27" t="n">
        <v>9</v>
      </c>
      <c r="D180" s="27" t="n">
        <v>17</v>
      </c>
      <c r="E180" s="27" t="n">
        <v>25</v>
      </c>
      <c r="F180" s="27" t="n">
        <v>39</v>
      </c>
      <c r="G180" s="27" t="n">
        <v>43</v>
      </c>
      <c r="H180" s="27" t="n">
        <v>32</v>
      </c>
      <c r="J180" s="27">
        <f>SUMPRODUCT(COUNTIFS(확률!$J$2:$J$46, 원본!B180:G180, 확률!$M$2:$M$46, "&lt;=20"))</f>
        <v/>
      </c>
      <c r="K180" s="27">
        <f>SUMPRODUCT(COUNTIFS(확률!$J$2:$J$46, 원본!B180:G180, 확률!$M$2:$M$46, "&gt;=36"))</f>
        <v/>
      </c>
      <c r="L180" s="27">
        <f>6-J180-K180</f>
        <v/>
      </c>
    </row>
    <row r="181" ht="16.5" customHeight="1" s="28">
      <c r="A181" s="31" t="n">
        <v>180</v>
      </c>
      <c r="B181" s="27" t="n">
        <v>2</v>
      </c>
      <c r="C181" s="27" t="n">
        <v>15</v>
      </c>
      <c r="D181" s="27" t="n">
        <v>20</v>
      </c>
      <c r="E181" s="27" t="n">
        <v>21</v>
      </c>
      <c r="F181" s="27" t="n">
        <v>29</v>
      </c>
      <c r="G181" s="27" t="n">
        <v>34</v>
      </c>
      <c r="H181" s="27" t="n">
        <v>22</v>
      </c>
      <c r="J181" s="27">
        <f>SUMPRODUCT(COUNTIFS(확률!$J$2:$J$46, 원본!B181:G181, 확률!$M$2:$M$46, "&lt;=20"))</f>
        <v/>
      </c>
      <c r="K181" s="27">
        <f>SUMPRODUCT(COUNTIFS(확률!$J$2:$J$46, 원본!B181:G181, 확률!$M$2:$M$46, "&gt;=36"))</f>
        <v/>
      </c>
      <c r="L181" s="27">
        <f>6-J181-K181</f>
        <v/>
      </c>
    </row>
    <row r="182" ht="16.5" customHeight="1" s="28">
      <c r="A182" s="31" t="n">
        <v>181</v>
      </c>
      <c r="B182" s="27" t="n">
        <v>14</v>
      </c>
      <c r="C182" s="27" t="n">
        <v>21</v>
      </c>
      <c r="D182" s="27" t="n">
        <v>23</v>
      </c>
      <c r="E182" s="27" t="n">
        <v>32</v>
      </c>
      <c r="F182" s="27" t="n">
        <v>40</v>
      </c>
      <c r="G182" s="27" t="n">
        <v>45</v>
      </c>
      <c r="H182" s="27" t="n">
        <v>44</v>
      </c>
      <c r="J182" s="27">
        <f>SUMPRODUCT(COUNTIFS(확률!$J$2:$J$46, 원본!B182:G182, 확률!$M$2:$M$46, "&lt;=20"))</f>
        <v/>
      </c>
      <c r="K182" s="27">
        <f>SUMPRODUCT(COUNTIFS(확률!$J$2:$J$46, 원본!B182:G182, 확률!$M$2:$M$46, "&gt;=36"))</f>
        <v/>
      </c>
      <c r="L182" s="27">
        <f>6-J182-K182</f>
        <v/>
      </c>
    </row>
    <row r="183" ht="16.5" customHeight="1" s="28">
      <c r="A183" s="31" t="n">
        <v>182</v>
      </c>
      <c r="B183" s="27" t="n">
        <v>13</v>
      </c>
      <c r="C183" s="27" t="n">
        <v>15</v>
      </c>
      <c r="D183" s="27" t="n">
        <v>27</v>
      </c>
      <c r="E183" s="27" t="n">
        <v>29</v>
      </c>
      <c r="F183" s="27" t="n">
        <v>34</v>
      </c>
      <c r="G183" s="27" t="n">
        <v>40</v>
      </c>
      <c r="H183" s="27" t="n">
        <v>35</v>
      </c>
      <c r="J183" s="27">
        <f>SUMPRODUCT(COUNTIFS(확률!$J$2:$J$46, 원본!B183:G183, 확률!$M$2:$M$46, "&lt;=20"))</f>
        <v/>
      </c>
      <c r="K183" s="27">
        <f>SUMPRODUCT(COUNTIFS(확률!$J$2:$J$46, 원본!B183:G183, 확률!$M$2:$M$46, "&gt;=36"))</f>
        <v/>
      </c>
      <c r="L183" s="27">
        <f>6-J183-K183</f>
        <v/>
      </c>
    </row>
    <row r="184" ht="16.5" customHeight="1" s="28">
      <c r="A184" s="31" t="n">
        <v>183</v>
      </c>
      <c r="B184" s="27" t="n">
        <v>2</v>
      </c>
      <c r="C184" s="27" t="n">
        <v>18</v>
      </c>
      <c r="D184" s="27" t="n">
        <v>24</v>
      </c>
      <c r="E184" s="27" t="n">
        <v>34</v>
      </c>
      <c r="F184" s="27" t="n">
        <v>40</v>
      </c>
      <c r="G184" s="27" t="n">
        <v>42</v>
      </c>
      <c r="H184" s="27" t="n">
        <v>5</v>
      </c>
      <c r="J184" s="27">
        <f>SUMPRODUCT(COUNTIFS(확률!$J$2:$J$46, 원본!B184:G184, 확률!$M$2:$M$46, "&lt;=20"))</f>
        <v/>
      </c>
      <c r="K184" s="27">
        <f>SUMPRODUCT(COUNTIFS(확률!$J$2:$J$46, 원본!B184:G184, 확률!$M$2:$M$46, "&gt;=36"))</f>
        <v/>
      </c>
      <c r="L184" s="27">
        <f>6-J184-K184</f>
        <v/>
      </c>
    </row>
    <row r="185" ht="16.5" customHeight="1" s="28">
      <c r="A185" s="31" t="n">
        <v>184</v>
      </c>
      <c r="B185" s="27" t="n">
        <v>1</v>
      </c>
      <c r="C185" s="27" t="n">
        <v>2</v>
      </c>
      <c r="D185" s="27" t="n">
        <v>6</v>
      </c>
      <c r="E185" s="27" t="n">
        <v>16</v>
      </c>
      <c r="F185" s="27" t="n">
        <v>20</v>
      </c>
      <c r="G185" s="27" t="n">
        <v>33</v>
      </c>
      <c r="H185" s="27" t="n">
        <v>41</v>
      </c>
      <c r="J185" s="27">
        <f>SUMPRODUCT(COUNTIFS(확률!$J$2:$J$46, 원본!B185:G185, 확률!$M$2:$M$46, "&lt;=20"))</f>
        <v/>
      </c>
      <c r="K185" s="27">
        <f>SUMPRODUCT(COUNTIFS(확률!$J$2:$J$46, 원본!B185:G185, 확률!$M$2:$M$46, "&gt;=36"))</f>
        <v/>
      </c>
      <c r="L185" s="27">
        <f>6-J185-K185</f>
        <v/>
      </c>
    </row>
    <row r="186" ht="16.5" customHeight="1" s="28">
      <c r="A186" s="31" t="n">
        <v>185</v>
      </c>
      <c r="B186" s="27" t="n">
        <v>1</v>
      </c>
      <c r="C186" s="27" t="n">
        <v>2</v>
      </c>
      <c r="D186" s="27" t="n">
        <v>4</v>
      </c>
      <c r="E186" s="27" t="n">
        <v>8</v>
      </c>
      <c r="F186" s="27" t="n">
        <v>19</v>
      </c>
      <c r="G186" s="27" t="n">
        <v>38</v>
      </c>
      <c r="H186" s="27" t="n">
        <v>14</v>
      </c>
      <c r="J186" s="27">
        <f>SUMPRODUCT(COUNTIFS(확률!$J$2:$J$46, 원본!B186:G186, 확률!$M$2:$M$46, "&lt;=20"))</f>
        <v/>
      </c>
      <c r="K186" s="27">
        <f>SUMPRODUCT(COUNTIFS(확률!$J$2:$J$46, 원본!B186:G186, 확률!$M$2:$M$46, "&gt;=36"))</f>
        <v/>
      </c>
      <c r="L186" s="27">
        <f>6-J186-K186</f>
        <v/>
      </c>
    </row>
    <row r="187" ht="16.5" customHeight="1" s="28">
      <c r="A187" s="31" t="n">
        <v>186</v>
      </c>
      <c r="B187" s="27" t="n">
        <v>4</v>
      </c>
      <c r="C187" s="27" t="n">
        <v>10</v>
      </c>
      <c r="D187" s="27" t="n">
        <v>14</v>
      </c>
      <c r="E187" s="27" t="n">
        <v>19</v>
      </c>
      <c r="F187" s="27" t="n">
        <v>21</v>
      </c>
      <c r="G187" s="27" t="n">
        <v>45</v>
      </c>
      <c r="H187" s="27" t="n">
        <v>9</v>
      </c>
      <c r="J187" s="27">
        <f>SUMPRODUCT(COUNTIFS(확률!$J$2:$J$46, 원본!B187:G187, 확률!$M$2:$M$46, "&lt;=20"))</f>
        <v/>
      </c>
      <c r="K187" s="27">
        <f>SUMPRODUCT(COUNTIFS(확률!$J$2:$J$46, 원본!B187:G187, 확률!$M$2:$M$46, "&gt;=36"))</f>
        <v/>
      </c>
      <c r="L187" s="27">
        <f>6-J187-K187</f>
        <v/>
      </c>
    </row>
    <row r="188" ht="16.5" customHeight="1" s="28">
      <c r="A188" s="31" t="n">
        <v>187</v>
      </c>
      <c r="B188" s="27" t="n">
        <v>1</v>
      </c>
      <c r="C188" s="27" t="n">
        <v>2</v>
      </c>
      <c r="D188" s="27" t="n">
        <v>8</v>
      </c>
      <c r="E188" s="27" t="n">
        <v>18</v>
      </c>
      <c r="F188" s="27" t="n">
        <v>29</v>
      </c>
      <c r="G188" s="27" t="n">
        <v>38</v>
      </c>
      <c r="H188" s="27" t="n">
        <v>42</v>
      </c>
      <c r="J188" s="27">
        <f>SUMPRODUCT(COUNTIFS(확률!$J$2:$J$46, 원본!B188:G188, 확률!$M$2:$M$46, "&lt;=20"))</f>
        <v/>
      </c>
      <c r="K188" s="27">
        <f>SUMPRODUCT(COUNTIFS(확률!$J$2:$J$46, 원본!B188:G188, 확률!$M$2:$M$46, "&gt;=36"))</f>
        <v/>
      </c>
      <c r="L188" s="27">
        <f>6-J188-K188</f>
        <v/>
      </c>
    </row>
    <row r="189" ht="16.5" customHeight="1" s="28">
      <c r="A189" s="31" t="n">
        <v>188</v>
      </c>
      <c r="B189" s="27" t="n">
        <v>19</v>
      </c>
      <c r="C189" s="27" t="n">
        <v>24</v>
      </c>
      <c r="D189" s="27" t="n">
        <v>27</v>
      </c>
      <c r="E189" s="27" t="n">
        <v>30</v>
      </c>
      <c r="F189" s="27" t="n">
        <v>31</v>
      </c>
      <c r="G189" s="27" t="n">
        <v>34</v>
      </c>
      <c r="H189" s="27" t="n">
        <v>36</v>
      </c>
      <c r="J189" s="27">
        <f>SUMPRODUCT(COUNTIFS(확률!$J$2:$J$46, 원본!B189:G189, 확률!$M$2:$M$46, "&lt;=20"))</f>
        <v/>
      </c>
      <c r="K189" s="27">
        <f>SUMPRODUCT(COUNTIFS(확률!$J$2:$J$46, 원본!B189:G189, 확률!$M$2:$M$46, "&gt;=36"))</f>
        <v/>
      </c>
      <c r="L189" s="27">
        <f>6-J189-K189</f>
        <v/>
      </c>
    </row>
    <row r="190" ht="16.5" customHeight="1" s="28">
      <c r="A190" s="31" t="n">
        <v>189</v>
      </c>
      <c r="B190" s="27" t="n">
        <v>8</v>
      </c>
      <c r="C190" s="27" t="n">
        <v>14</v>
      </c>
      <c r="D190" s="27" t="n">
        <v>32</v>
      </c>
      <c r="E190" s="27" t="n">
        <v>35</v>
      </c>
      <c r="F190" s="27" t="n">
        <v>37</v>
      </c>
      <c r="G190" s="27" t="n">
        <v>45</v>
      </c>
      <c r="H190" s="27" t="n">
        <v>28</v>
      </c>
      <c r="J190" s="27">
        <f>SUMPRODUCT(COUNTIFS(확률!$J$2:$J$46, 원본!B190:G190, 확률!$M$2:$M$46, "&lt;=20"))</f>
        <v/>
      </c>
      <c r="K190" s="27">
        <f>SUMPRODUCT(COUNTIFS(확률!$J$2:$J$46, 원본!B190:G190, 확률!$M$2:$M$46, "&gt;=36"))</f>
        <v/>
      </c>
      <c r="L190" s="27">
        <f>6-J190-K190</f>
        <v/>
      </c>
    </row>
    <row r="191" ht="16.5" customHeight="1" s="28">
      <c r="A191" s="31" t="n">
        <v>190</v>
      </c>
      <c r="B191" s="27" t="n">
        <v>8</v>
      </c>
      <c r="C191" s="27" t="n">
        <v>14</v>
      </c>
      <c r="D191" s="27" t="n">
        <v>18</v>
      </c>
      <c r="E191" s="27" t="n">
        <v>30</v>
      </c>
      <c r="F191" s="27" t="n">
        <v>31</v>
      </c>
      <c r="G191" s="27" t="n">
        <v>44</v>
      </c>
      <c r="H191" s="27" t="n">
        <v>15</v>
      </c>
      <c r="J191" s="27">
        <f>SUMPRODUCT(COUNTIFS(확률!$J$2:$J$46, 원본!B191:G191, 확률!$M$2:$M$46, "&lt;=20"))</f>
        <v/>
      </c>
      <c r="K191" s="27">
        <f>SUMPRODUCT(COUNTIFS(확률!$J$2:$J$46, 원본!B191:G191, 확률!$M$2:$M$46, "&gt;=36"))</f>
        <v/>
      </c>
      <c r="L191" s="27">
        <f>6-J191-K191</f>
        <v/>
      </c>
    </row>
    <row r="192" ht="16.5" customHeight="1" s="28">
      <c r="A192" s="31" t="n">
        <v>191</v>
      </c>
      <c r="B192" s="27" t="n">
        <v>5</v>
      </c>
      <c r="C192" s="27" t="n">
        <v>6</v>
      </c>
      <c r="D192" s="27" t="n">
        <v>24</v>
      </c>
      <c r="E192" s="27" t="n">
        <v>25</v>
      </c>
      <c r="F192" s="27" t="n">
        <v>32</v>
      </c>
      <c r="G192" s="27" t="n">
        <v>37</v>
      </c>
      <c r="H192" s="27" t="n">
        <v>8</v>
      </c>
      <c r="J192" s="27">
        <f>SUMPRODUCT(COUNTIFS(확률!$J$2:$J$46, 원본!B192:G192, 확률!$M$2:$M$46, "&lt;=20"))</f>
        <v/>
      </c>
      <c r="K192" s="27">
        <f>SUMPRODUCT(COUNTIFS(확률!$J$2:$J$46, 원본!B192:G192, 확률!$M$2:$M$46, "&gt;=36"))</f>
        <v/>
      </c>
      <c r="L192" s="27">
        <f>6-J192-K192</f>
        <v/>
      </c>
    </row>
    <row r="193" ht="16.5" customHeight="1" s="28">
      <c r="A193" s="31" t="n">
        <v>192</v>
      </c>
      <c r="B193" s="27" t="n">
        <v>4</v>
      </c>
      <c r="C193" s="27" t="n">
        <v>8</v>
      </c>
      <c r="D193" s="27" t="n">
        <v>11</v>
      </c>
      <c r="E193" s="27" t="n">
        <v>18</v>
      </c>
      <c r="F193" s="27" t="n">
        <v>37</v>
      </c>
      <c r="G193" s="27" t="n">
        <v>45</v>
      </c>
      <c r="H193" s="27" t="n">
        <v>33</v>
      </c>
      <c r="J193" s="27">
        <f>SUMPRODUCT(COUNTIFS(확률!$J$2:$J$46, 원본!B193:G193, 확률!$M$2:$M$46, "&lt;=20"))</f>
        <v/>
      </c>
      <c r="K193" s="27">
        <f>SUMPRODUCT(COUNTIFS(확률!$J$2:$J$46, 원본!B193:G193, 확률!$M$2:$M$46, "&gt;=36"))</f>
        <v/>
      </c>
      <c r="L193" s="27">
        <f>6-J193-K193</f>
        <v/>
      </c>
    </row>
    <row r="194" ht="16.5" customHeight="1" s="28">
      <c r="A194" s="31" t="n">
        <v>193</v>
      </c>
      <c r="B194" s="27" t="n">
        <v>6</v>
      </c>
      <c r="C194" s="27" t="n">
        <v>14</v>
      </c>
      <c r="D194" s="27" t="n">
        <v>18</v>
      </c>
      <c r="E194" s="27" t="n">
        <v>26</v>
      </c>
      <c r="F194" s="27" t="n">
        <v>36</v>
      </c>
      <c r="G194" s="27" t="n">
        <v>39</v>
      </c>
      <c r="H194" s="27" t="n">
        <v>13</v>
      </c>
      <c r="J194" s="27">
        <f>SUMPRODUCT(COUNTIFS(확률!$J$2:$J$46, 원본!B194:G194, 확률!$M$2:$M$46, "&lt;=20"))</f>
        <v/>
      </c>
      <c r="K194" s="27">
        <f>SUMPRODUCT(COUNTIFS(확률!$J$2:$J$46, 원본!B194:G194, 확률!$M$2:$M$46, "&gt;=36"))</f>
        <v/>
      </c>
      <c r="L194" s="27">
        <f>6-J194-K194</f>
        <v/>
      </c>
    </row>
    <row r="195" ht="16.5" customHeight="1" s="28">
      <c r="A195" s="31" t="n">
        <v>194</v>
      </c>
      <c r="B195" s="27" t="n">
        <v>15</v>
      </c>
      <c r="C195" s="27" t="n">
        <v>20</v>
      </c>
      <c r="D195" s="27" t="n">
        <v>23</v>
      </c>
      <c r="E195" s="27" t="n">
        <v>26</v>
      </c>
      <c r="F195" s="27" t="n">
        <v>39</v>
      </c>
      <c r="G195" s="27" t="n">
        <v>44</v>
      </c>
      <c r="H195" s="27" t="n">
        <v>28</v>
      </c>
      <c r="J195" s="27">
        <f>SUMPRODUCT(COUNTIFS(확률!$J$2:$J$46, 원본!B195:G195, 확률!$M$2:$M$46, "&lt;=20"))</f>
        <v/>
      </c>
      <c r="K195" s="27">
        <f>SUMPRODUCT(COUNTIFS(확률!$J$2:$J$46, 원본!B195:G195, 확률!$M$2:$M$46, "&gt;=36"))</f>
        <v/>
      </c>
      <c r="L195" s="27">
        <f>6-J195-K195</f>
        <v/>
      </c>
    </row>
    <row r="196" ht="16.5" customHeight="1" s="28">
      <c r="A196" s="31" t="n">
        <v>195</v>
      </c>
      <c r="B196" s="27" t="n">
        <v>7</v>
      </c>
      <c r="C196" s="27" t="n">
        <v>10</v>
      </c>
      <c r="D196" s="27" t="n">
        <v>19</v>
      </c>
      <c r="E196" s="27" t="n">
        <v>22</v>
      </c>
      <c r="F196" s="27" t="n">
        <v>35</v>
      </c>
      <c r="G196" s="27" t="n">
        <v>40</v>
      </c>
      <c r="H196" s="27" t="n">
        <v>31</v>
      </c>
      <c r="J196" s="27">
        <f>SUMPRODUCT(COUNTIFS(확률!$J$2:$J$46, 원본!B196:G196, 확률!$M$2:$M$46, "&lt;=20"))</f>
        <v/>
      </c>
      <c r="K196" s="27">
        <f>SUMPRODUCT(COUNTIFS(확률!$J$2:$J$46, 원본!B196:G196, 확률!$M$2:$M$46, "&gt;=36"))</f>
        <v/>
      </c>
      <c r="L196" s="27">
        <f>6-J196-K196</f>
        <v/>
      </c>
    </row>
    <row r="197" ht="16.5" customHeight="1" s="28">
      <c r="A197" s="31" t="n">
        <v>196</v>
      </c>
      <c r="B197" s="27" t="n">
        <v>35</v>
      </c>
      <c r="C197" s="27" t="n">
        <v>36</v>
      </c>
      <c r="D197" s="27" t="n">
        <v>37</v>
      </c>
      <c r="E197" s="27" t="n">
        <v>41</v>
      </c>
      <c r="F197" s="27" t="n">
        <v>44</v>
      </c>
      <c r="G197" s="27" t="n">
        <v>45</v>
      </c>
      <c r="H197" s="27" t="n">
        <v>30</v>
      </c>
      <c r="J197" s="27">
        <f>SUMPRODUCT(COUNTIFS(확률!$J$2:$J$46, 원본!B197:G197, 확률!$M$2:$M$46, "&lt;=20"))</f>
        <v/>
      </c>
      <c r="K197" s="27">
        <f>SUMPRODUCT(COUNTIFS(확률!$J$2:$J$46, 원본!B197:G197, 확률!$M$2:$M$46, "&gt;=36"))</f>
        <v/>
      </c>
      <c r="L197" s="27">
        <f>6-J197-K197</f>
        <v/>
      </c>
    </row>
    <row r="198" ht="16.5" customHeight="1" s="28">
      <c r="A198" s="31" t="n">
        <v>197</v>
      </c>
      <c r="B198" s="27" t="n">
        <v>7</v>
      </c>
      <c r="C198" s="27" t="n">
        <v>16</v>
      </c>
      <c r="D198" s="27" t="n">
        <v>12</v>
      </c>
      <c r="E198" s="27" t="n">
        <v>34</v>
      </c>
      <c r="F198" s="27" t="n">
        <v>42</v>
      </c>
      <c r="G198" s="27" t="n">
        <v>45</v>
      </c>
      <c r="H198" s="27" t="n">
        <v>4</v>
      </c>
      <c r="J198" s="27">
        <f>SUMPRODUCT(COUNTIFS(확률!$J$2:$J$46, 원본!B198:G198, 확률!$M$2:$M$46, "&lt;=20"))</f>
        <v/>
      </c>
      <c r="K198" s="27">
        <f>SUMPRODUCT(COUNTIFS(확률!$J$2:$J$46, 원본!B198:G198, 확률!$M$2:$M$46, "&gt;=36"))</f>
        <v/>
      </c>
      <c r="L198" s="27">
        <f>6-J198-K198</f>
        <v/>
      </c>
    </row>
    <row r="199" ht="16.5" customHeight="1" s="28">
      <c r="A199" s="31" t="n">
        <v>198</v>
      </c>
      <c r="B199" s="27" t="n">
        <v>12</v>
      </c>
      <c r="C199" s="27" t="n">
        <v>19</v>
      </c>
      <c r="D199" s="27" t="n">
        <v>20</v>
      </c>
      <c r="E199" s="27" t="n">
        <v>25</v>
      </c>
      <c r="F199" s="27" t="n">
        <v>41</v>
      </c>
      <c r="G199" s="27" t="n">
        <v>45</v>
      </c>
      <c r="H199" s="27" t="n">
        <v>2</v>
      </c>
      <c r="J199" s="27">
        <f>SUMPRODUCT(COUNTIFS(확률!$J$2:$J$46, 원본!B199:G199, 확률!$M$2:$M$46, "&lt;=20"))</f>
        <v/>
      </c>
      <c r="K199" s="27">
        <f>SUMPRODUCT(COUNTIFS(확률!$J$2:$J$46, 원본!B199:G199, 확률!$M$2:$M$46, "&gt;=36"))</f>
        <v/>
      </c>
      <c r="L199" s="27">
        <f>6-J199-K199</f>
        <v/>
      </c>
    </row>
    <row r="200" ht="16.5" customHeight="1" s="28">
      <c r="A200" s="31" t="n">
        <v>199</v>
      </c>
      <c r="B200" s="27" t="n">
        <v>14</v>
      </c>
      <c r="C200" s="27" t="n">
        <v>21</v>
      </c>
      <c r="D200" s="27" t="n">
        <v>22</v>
      </c>
      <c r="E200" s="27" t="n">
        <v>25</v>
      </c>
      <c r="F200" s="27" t="n">
        <v>30</v>
      </c>
      <c r="G200" s="27" t="n">
        <v>36</v>
      </c>
      <c r="H200" s="27" t="n">
        <v>43</v>
      </c>
      <c r="J200" s="27">
        <f>SUMPRODUCT(COUNTIFS(확률!$J$2:$J$46, 원본!B200:G200, 확률!$M$2:$M$46, "&lt;=20"))</f>
        <v/>
      </c>
      <c r="K200" s="27">
        <f>SUMPRODUCT(COUNTIFS(확률!$J$2:$J$46, 원본!B200:G200, 확률!$M$2:$M$46, "&gt;=36"))</f>
        <v/>
      </c>
      <c r="L200" s="27">
        <f>6-J200-K200</f>
        <v/>
      </c>
    </row>
    <row r="201" ht="16.5" customHeight="1" s="28">
      <c r="A201" s="31" t="n">
        <v>200</v>
      </c>
      <c r="B201" s="27" t="n">
        <v>5</v>
      </c>
      <c r="C201" s="27" t="n">
        <v>6</v>
      </c>
      <c r="D201" s="27" t="n">
        <v>13</v>
      </c>
      <c r="E201" s="27" t="n">
        <v>14</v>
      </c>
      <c r="F201" s="27" t="n">
        <v>17</v>
      </c>
      <c r="G201" s="27" t="n">
        <v>20</v>
      </c>
      <c r="H201" s="27" t="n">
        <v>7</v>
      </c>
      <c r="J201" s="27">
        <f>SUMPRODUCT(COUNTIFS(확률!$J$2:$J$46, 원본!B201:G201, 확률!$M$2:$M$46, "&lt;=20"))</f>
        <v/>
      </c>
      <c r="K201" s="27">
        <f>SUMPRODUCT(COUNTIFS(확률!$J$2:$J$46, 원본!B201:G201, 확률!$M$2:$M$46, "&gt;=36"))</f>
        <v/>
      </c>
      <c r="L201" s="27">
        <f>6-J201-K201</f>
        <v/>
      </c>
    </row>
    <row r="202" ht="16.5" customHeight="1" s="28">
      <c r="A202" s="31" t="n">
        <v>201</v>
      </c>
      <c r="B202" s="27" t="n">
        <v>3</v>
      </c>
      <c r="C202" s="27" t="n">
        <v>11</v>
      </c>
      <c r="D202" s="27" t="n">
        <v>24</v>
      </c>
      <c r="E202" s="27" t="n">
        <v>38</v>
      </c>
      <c r="F202" s="27" t="n">
        <v>39</v>
      </c>
      <c r="G202" s="27" t="n">
        <v>44</v>
      </c>
      <c r="H202" s="27" t="n">
        <v>26</v>
      </c>
      <c r="J202" s="27">
        <f>SUMPRODUCT(COUNTIFS(확률!$J$2:$J$46, 원본!B202:G202, 확률!$M$2:$M$46, "&lt;=20"))</f>
        <v/>
      </c>
      <c r="K202" s="27">
        <f>SUMPRODUCT(COUNTIFS(확률!$J$2:$J$46, 원본!B202:G202, 확률!$M$2:$M$46, "&gt;=36"))</f>
        <v/>
      </c>
      <c r="L202" s="27">
        <f>6-J202-K202</f>
        <v/>
      </c>
    </row>
    <row r="203" ht="16.5" customHeight="1" s="28">
      <c r="A203" s="31" t="n">
        <v>202</v>
      </c>
      <c r="B203" s="27" t="n">
        <v>12</v>
      </c>
      <c r="C203" s="27" t="n">
        <v>14</v>
      </c>
      <c r="D203" s="27" t="n">
        <v>27</v>
      </c>
      <c r="E203" s="27" t="n">
        <v>33</v>
      </c>
      <c r="F203" s="27" t="n">
        <v>39</v>
      </c>
      <c r="G203" s="27" t="n">
        <v>44</v>
      </c>
      <c r="H203" s="27" t="n">
        <v>17</v>
      </c>
      <c r="J203" s="27">
        <f>SUMPRODUCT(COUNTIFS(확률!$J$2:$J$46, 원본!B203:G203, 확률!$M$2:$M$46, "&lt;=20"))</f>
        <v/>
      </c>
      <c r="K203" s="27">
        <f>SUMPRODUCT(COUNTIFS(확률!$J$2:$J$46, 원본!B203:G203, 확률!$M$2:$M$46, "&gt;=36"))</f>
        <v/>
      </c>
      <c r="L203" s="27">
        <f>6-J203-K203</f>
        <v/>
      </c>
    </row>
    <row r="204" ht="16.5" customHeight="1" s="28">
      <c r="A204" s="31" t="n">
        <v>203</v>
      </c>
      <c r="B204" s="27" t="n">
        <v>1</v>
      </c>
      <c r="C204" s="27" t="n">
        <v>3</v>
      </c>
      <c r="D204" s="27" t="n">
        <v>11</v>
      </c>
      <c r="E204" s="27" t="n">
        <v>24</v>
      </c>
      <c r="F204" s="27" t="n">
        <v>30</v>
      </c>
      <c r="G204" s="27" t="n">
        <v>32</v>
      </c>
      <c r="H204" s="27" t="n">
        <v>7</v>
      </c>
      <c r="J204" s="27">
        <f>SUMPRODUCT(COUNTIFS(확률!$J$2:$J$46, 원본!B204:G204, 확률!$M$2:$M$46, "&lt;=20"))</f>
        <v/>
      </c>
      <c r="K204" s="27">
        <f>SUMPRODUCT(COUNTIFS(확률!$J$2:$J$46, 원본!B204:G204, 확률!$M$2:$M$46, "&gt;=36"))</f>
        <v/>
      </c>
      <c r="L204" s="27">
        <f>6-J204-K204</f>
        <v/>
      </c>
    </row>
    <row r="205" ht="16.5" customHeight="1" s="28">
      <c r="A205" s="31" t="n">
        <v>204</v>
      </c>
      <c r="B205" s="27" t="n">
        <v>3</v>
      </c>
      <c r="C205" s="27" t="n">
        <v>12</v>
      </c>
      <c r="D205" s="27" t="n">
        <v>14</v>
      </c>
      <c r="E205" s="27" t="n">
        <v>35</v>
      </c>
      <c r="F205" s="27" t="n">
        <v>40</v>
      </c>
      <c r="G205" s="27" t="n">
        <v>45</v>
      </c>
      <c r="H205" s="27" t="n">
        <v>5</v>
      </c>
      <c r="J205" s="27">
        <f>SUMPRODUCT(COUNTIFS(확률!$J$2:$J$46, 원본!B205:G205, 확률!$M$2:$M$46, "&lt;=20"))</f>
        <v/>
      </c>
      <c r="K205" s="27">
        <f>SUMPRODUCT(COUNTIFS(확률!$J$2:$J$46, 원본!B205:G205, 확률!$M$2:$M$46, "&gt;=36"))</f>
        <v/>
      </c>
      <c r="L205" s="27">
        <f>6-J205-K205</f>
        <v/>
      </c>
    </row>
    <row r="206" ht="16.5" customHeight="1" s="28">
      <c r="A206" s="31" t="n">
        <v>205</v>
      </c>
      <c r="B206" s="27" t="n">
        <v>1</v>
      </c>
      <c r="C206" s="27" t="n">
        <v>3</v>
      </c>
      <c r="D206" s="27" t="n">
        <v>21</v>
      </c>
      <c r="E206" s="27" t="n">
        <v>29</v>
      </c>
      <c r="F206" s="27" t="n">
        <v>35</v>
      </c>
      <c r="G206" s="27" t="n">
        <v>37</v>
      </c>
      <c r="H206" s="27" t="n">
        <v>30</v>
      </c>
      <c r="J206" s="27">
        <f>SUMPRODUCT(COUNTIFS(확률!$J$2:$J$46, 원본!B206:G206, 확률!$M$2:$M$46, "&lt;=20"))</f>
        <v/>
      </c>
      <c r="K206" s="27">
        <f>SUMPRODUCT(COUNTIFS(확률!$J$2:$J$46, 원본!B206:G206, 확률!$M$2:$M$46, "&gt;=36"))</f>
        <v/>
      </c>
      <c r="L206" s="27">
        <f>6-J206-K206</f>
        <v/>
      </c>
    </row>
    <row r="207" ht="16.5" customHeight="1" s="28">
      <c r="A207" s="31" t="n">
        <v>206</v>
      </c>
      <c r="B207" s="27" t="n">
        <v>1</v>
      </c>
      <c r="C207" s="27" t="n">
        <v>2</v>
      </c>
      <c r="D207" s="27" t="n">
        <v>3</v>
      </c>
      <c r="E207" s="27" t="n">
        <v>15</v>
      </c>
      <c r="F207" s="27" t="n">
        <v>20</v>
      </c>
      <c r="G207" s="27" t="n">
        <v>25</v>
      </c>
      <c r="H207" s="27" t="n">
        <v>43</v>
      </c>
      <c r="J207" s="27">
        <f>SUMPRODUCT(COUNTIFS(확률!$J$2:$J$46, 원본!B207:G207, 확률!$M$2:$M$46, "&lt;=20"))</f>
        <v/>
      </c>
      <c r="K207" s="27">
        <f>SUMPRODUCT(COUNTIFS(확률!$J$2:$J$46, 원본!B207:G207, 확률!$M$2:$M$46, "&gt;=36"))</f>
        <v/>
      </c>
      <c r="L207" s="27">
        <f>6-J207-K207</f>
        <v/>
      </c>
    </row>
    <row r="208" ht="16.5" customHeight="1" s="28">
      <c r="A208" s="31" t="n">
        <v>207</v>
      </c>
      <c r="B208" s="27" t="n">
        <v>3</v>
      </c>
      <c r="C208" s="27" t="n">
        <v>11</v>
      </c>
      <c r="D208" s="27" t="n">
        <v>14</v>
      </c>
      <c r="E208" s="27" t="n">
        <v>31</v>
      </c>
      <c r="F208" s="27" t="n">
        <v>32</v>
      </c>
      <c r="G208" s="27" t="n">
        <v>37</v>
      </c>
      <c r="H208" s="27" t="n">
        <v>38</v>
      </c>
      <c r="J208" s="27">
        <f>SUMPRODUCT(COUNTIFS(확률!$J$2:$J$46, 원본!B208:G208, 확률!$M$2:$M$46, "&lt;=20"))</f>
        <v/>
      </c>
      <c r="K208" s="27">
        <f>SUMPRODUCT(COUNTIFS(확률!$J$2:$J$46, 원본!B208:G208, 확률!$M$2:$M$46, "&gt;=36"))</f>
        <v/>
      </c>
      <c r="L208" s="27">
        <f>6-J208-K208</f>
        <v/>
      </c>
    </row>
    <row r="209" ht="16.5" customHeight="1" s="28">
      <c r="A209" s="31" t="n">
        <v>208</v>
      </c>
      <c r="B209" s="27" t="n">
        <v>14</v>
      </c>
      <c r="C209" s="27" t="n">
        <v>25</v>
      </c>
      <c r="D209" s="27" t="n">
        <v>31</v>
      </c>
      <c r="E209" s="27" t="n">
        <v>34</v>
      </c>
      <c r="F209" s="27" t="n">
        <v>40</v>
      </c>
      <c r="G209" s="27" t="n">
        <v>44</v>
      </c>
      <c r="H209" s="27" t="n">
        <v>24</v>
      </c>
      <c r="J209" s="27">
        <f>SUMPRODUCT(COUNTIFS(확률!$J$2:$J$46, 원본!B209:G209, 확률!$M$2:$M$46, "&lt;=20"))</f>
        <v/>
      </c>
      <c r="K209" s="27">
        <f>SUMPRODUCT(COUNTIFS(확률!$J$2:$J$46, 원본!B209:G209, 확률!$M$2:$M$46, "&gt;=36"))</f>
        <v/>
      </c>
      <c r="L209" s="27">
        <f>6-J209-K209</f>
        <v/>
      </c>
    </row>
    <row r="210" ht="16.5" customHeight="1" s="28">
      <c r="A210" s="31" t="n">
        <v>209</v>
      </c>
      <c r="B210" s="27" t="n">
        <v>2</v>
      </c>
      <c r="C210" s="27" t="n">
        <v>7</v>
      </c>
      <c r="D210" s="27" t="n">
        <v>18</v>
      </c>
      <c r="E210" s="27" t="n">
        <v>20</v>
      </c>
      <c r="F210" s="27" t="n">
        <v>24</v>
      </c>
      <c r="G210" s="27" t="n">
        <v>33</v>
      </c>
      <c r="H210" s="27" t="n">
        <v>37</v>
      </c>
      <c r="J210" s="27">
        <f>SUMPRODUCT(COUNTIFS(확률!$J$2:$J$46, 원본!B210:G210, 확률!$M$2:$M$46, "&lt;=20"))</f>
        <v/>
      </c>
      <c r="K210" s="27">
        <f>SUMPRODUCT(COUNTIFS(확률!$J$2:$J$46, 원본!B210:G210, 확률!$M$2:$M$46, "&gt;=36"))</f>
        <v/>
      </c>
      <c r="L210" s="27">
        <f>6-J210-K210</f>
        <v/>
      </c>
    </row>
    <row r="211" ht="16.5" customHeight="1" s="28">
      <c r="A211" s="31" t="n">
        <v>210</v>
      </c>
      <c r="B211" s="27" t="n">
        <v>10</v>
      </c>
      <c r="C211" s="27" t="n">
        <v>19</v>
      </c>
      <c r="D211" s="27" t="n">
        <v>22</v>
      </c>
      <c r="E211" s="27" t="n">
        <v>23</v>
      </c>
      <c r="F211" s="27" t="n">
        <v>25</v>
      </c>
      <c r="G211" s="27" t="n">
        <v>37</v>
      </c>
      <c r="H211" s="27" t="n">
        <v>39</v>
      </c>
      <c r="J211" s="27">
        <f>SUMPRODUCT(COUNTIFS(확률!$J$2:$J$46, 원본!B211:G211, 확률!$M$2:$M$46, "&lt;=20"))</f>
        <v/>
      </c>
      <c r="K211" s="27">
        <f>SUMPRODUCT(COUNTIFS(확률!$J$2:$J$46, 원본!B211:G211, 확률!$M$2:$M$46, "&gt;=36"))</f>
        <v/>
      </c>
      <c r="L211" s="27">
        <f>6-J211-K211</f>
        <v/>
      </c>
    </row>
    <row r="212" ht="16.5" customHeight="1" s="28">
      <c r="A212" s="31" t="n">
        <v>211</v>
      </c>
      <c r="B212" s="27" t="n">
        <v>12</v>
      </c>
      <c r="C212" s="27" t="n">
        <v>13</v>
      </c>
      <c r="D212" s="27" t="n">
        <v>17</v>
      </c>
      <c r="E212" s="27" t="n">
        <v>20</v>
      </c>
      <c r="F212" s="27" t="n">
        <v>33</v>
      </c>
      <c r="G212" s="27" t="n">
        <v>41</v>
      </c>
      <c r="H212" s="27" t="n">
        <v>8</v>
      </c>
      <c r="J212" s="27">
        <f>SUMPRODUCT(COUNTIFS(확률!$J$2:$J$46, 원본!B212:G212, 확률!$M$2:$M$46, "&lt;=20"))</f>
        <v/>
      </c>
      <c r="K212" s="27">
        <f>SUMPRODUCT(COUNTIFS(확률!$J$2:$J$46, 원본!B212:G212, 확률!$M$2:$M$46, "&gt;=36"))</f>
        <v/>
      </c>
      <c r="L212" s="27">
        <f>6-J212-K212</f>
        <v/>
      </c>
    </row>
    <row r="213" ht="16.5" customHeight="1" s="28">
      <c r="A213" s="31" t="n">
        <v>212</v>
      </c>
      <c r="B213" s="27" t="n">
        <v>11</v>
      </c>
      <c r="C213" s="27" t="n">
        <v>12</v>
      </c>
      <c r="D213" s="27" t="n">
        <v>18</v>
      </c>
      <c r="E213" s="27" t="n">
        <v>21</v>
      </c>
      <c r="F213" s="27" t="n">
        <v>31</v>
      </c>
      <c r="G213" s="27" t="n">
        <v>38</v>
      </c>
      <c r="H213" s="27" t="n">
        <v>8</v>
      </c>
      <c r="J213" s="27">
        <f>SUMPRODUCT(COUNTIFS(확률!$J$2:$J$46, 원본!B213:G213, 확률!$M$2:$M$46, "&lt;=20"))</f>
        <v/>
      </c>
      <c r="K213" s="27">
        <f>SUMPRODUCT(COUNTIFS(확률!$J$2:$J$46, 원본!B213:G213, 확률!$M$2:$M$46, "&gt;=36"))</f>
        <v/>
      </c>
      <c r="L213" s="27">
        <f>6-J213-K213</f>
        <v/>
      </c>
    </row>
    <row r="214" ht="16.5" customHeight="1" s="28">
      <c r="A214" s="31" t="n">
        <v>213</v>
      </c>
      <c r="B214" s="27" t="n">
        <v>2</v>
      </c>
      <c r="C214" s="27" t="n">
        <v>3</v>
      </c>
      <c r="D214" s="27" t="n">
        <v>4</v>
      </c>
      <c r="E214" s="27" t="n">
        <v>5</v>
      </c>
      <c r="F214" s="27" t="n">
        <v>20</v>
      </c>
      <c r="G214" s="27" t="n">
        <v>24</v>
      </c>
      <c r="H214" s="27" t="n">
        <v>42</v>
      </c>
      <c r="J214" s="27">
        <f>SUMPRODUCT(COUNTIFS(확률!$J$2:$J$46, 원본!B214:G214, 확률!$M$2:$M$46, "&lt;=20"))</f>
        <v/>
      </c>
      <c r="K214" s="27">
        <f>SUMPRODUCT(COUNTIFS(확률!$J$2:$J$46, 원본!B214:G214, 확률!$M$2:$M$46, "&gt;=36"))</f>
        <v/>
      </c>
      <c r="L214" s="27">
        <f>6-J214-K214</f>
        <v/>
      </c>
    </row>
    <row r="215" ht="16.5" customHeight="1" s="28">
      <c r="A215" s="31" t="n">
        <v>214</v>
      </c>
      <c r="B215" s="27" t="n">
        <v>5</v>
      </c>
      <c r="C215" s="27" t="n">
        <v>7</v>
      </c>
      <c r="D215" s="27" t="n">
        <v>20</v>
      </c>
      <c r="E215" s="27" t="n">
        <v>25</v>
      </c>
      <c r="F215" s="27" t="n">
        <v>28</v>
      </c>
      <c r="G215" s="27" t="n">
        <v>37</v>
      </c>
      <c r="H215" s="27" t="n">
        <v>32</v>
      </c>
      <c r="J215" s="27">
        <f>SUMPRODUCT(COUNTIFS(확률!$J$2:$J$46, 원본!B215:G215, 확률!$M$2:$M$46, "&lt;=20"))</f>
        <v/>
      </c>
      <c r="K215" s="27">
        <f>SUMPRODUCT(COUNTIFS(확률!$J$2:$J$46, 원본!B215:G215, 확률!$M$2:$M$46, "&gt;=36"))</f>
        <v/>
      </c>
      <c r="L215" s="27">
        <f>6-J215-K215</f>
        <v/>
      </c>
    </row>
    <row r="216" ht="16.5" customHeight="1" s="28">
      <c r="A216" s="31" t="n">
        <v>215</v>
      </c>
      <c r="B216" s="27" t="n">
        <v>2</v>
      </c>
      <c r="C216" s="27" t="n">
        <v>3</v>
      </c>
      <c r="D216" s="27" t="n">
        <v>7</v>
      </c>
      <c r="E216" s="27" t="n">
        <v>15</v>
      </c>
      <c r="F216" s="27" t="n">
        <v>43</v>
      </c>
      <c r="G216" s="27" t="n">
        <v>44</v>
      </c>
      <c r="H216" s="27" t="n">
        <v>4</v>
      </c>
      <c r="J216" s="27">
        <f>SUMPRODUCT(COUNTIFS(확률!$J$2:$J$46, 원본!B216:G216, 확률!$M$2:$M$46, "&lt;=20"))</f>
        <v/>
      </c>
      <c r="K216" s="27">
        <f>SUMPRODUCT(COUNTIFS(확률!$J$2:$J$46, 원본!B216:G216, 확률!$M$2:$M$46, "&gt;=36"))</f>
        <v/>
      </c>
      <c r="L216" s="27">
        <f>6-J216-K216</f>
        <v/>
      </c>
    </row>
    <row r="217" ht="16.5" customHeight="1" s="28">
      <c r="A217" s="31" t="n">
        <v>216</v>
      </c>
      <c r="B217" s="27" t="n">
        <v>7</v>
      </c>
      <c r="C217" s="27" t="n">
        <v>16</v>
      </c>
      <c r="D217" s="27" t="n">
        <v>17</v>
      </c>
      <c r="E217" s="27" t="n">
        <v>33</v>
      </c>
      <c r="F217" s="27" t="n">
        <v>36</v>
      </c>
      <c r="G217" s="27" t="n">
        <v>40</v>
      </c>
      <c r="H217" s="27" t="n">
        <v>1</v>
      </c>
      <c r="J217" s="27">
        <f>SUMPRODUCT(COUNTIFS(확률!$J$2:$J$46, 원본!B217:G217, 확률!$M$2:$M$46, "&lt;=20"))</f>
        <v/>
      </c>
      <c r="K217" s="27">
        <f>SUMPRODUCT(COUNTIFS(확률!$J$2:$J$46, 원본!B217:G217, 확률!$M$2:$M$46, "&gt;=36"))</f>
        <v/>
      </c>
      <c r="L217" s="27">
        <f>6-J217-K217</f>
        <v/>
      </c>
    </row>
    <row r="218" ht="16.5" customHeight="1" s="28">
      <c r="A218" s="31" t="n">
        <v>217</v>
      </c>
      <c r="B218" s="27" t="n">
        <v>16</v>
      </c>
      <c r="C218" s="27" t="n">
        <v>20</v>
      </c>
      <c r="D218" s="27" t="n">
        <v>27</v>
      </c>
      <c r="E218" s="27" t="n">
        <v>33</v>
      </c>
      <c r="F218" s="27" t="n">
        <v>35</v>
      </c>
      <c r="G218" s="27" t="n">
        <v>39</v>
      </c>
      <c r="H218" s="27" t="n">
        <v>38</v>
      </c>
      <c r="J218" s="27">
        <f>SUMPRODUCT(COUNTIFS(확률!$J$2:$J$46, 원본!B218:G218, 확률!$M$2:$M$46, "&lt;=20"))</f>
        <v/>
      </c>
      <c r="K218" s="27">
        <f>SUMPRODUCT(COUNTIFS(확률!$J$2:$J$46, 원본!B218:G218, 확률!$M$2:$M$46, "&gt;=36"))</f>
        <v/>
      </c>
      <c r="L218" s="27">
        <f>6-J218-K218</f>
        <v/>
      </c>
    </row>
    <row r="219" ht="16.5" customHeight="1" s="28">
      <c r="A219" s="31" t="n">
        <v>218</v>
      </c>
      <c r="B219" s="27" t="n">
        <v>1</v>
      </c>
      <c r="C219" s="27" t="n">
        <v>8</v>
      </c>
      <c r="D219" s="27" t="n">
        <v>14</v>
      </c>
      <c r="E219" s="27" t="n">
        <v>18</v>
      </c>
      <c r="F219" s="27" t="n">
        <v>29</v>
      </c>
      <c r="G219" s="27" t="n">
        <v>44</v>
      </c>
      <c r="H219" s="27" t="n">
        <v>20</v>
      </c>
      <c r="J219" s="27">
        <f>SUMPRODUCT(COUNTIFS(확률!$J$2:$J$46, 원본!B219:G219, 확률!$M$2:$M$46, "&lt;=20"))</f>
        <v/>
      </c>
      <c r="K219" s="27">
        <f>SUMPRODUCT(COUNTIFS(확률!$J$2:$J$46, 원본!B219:G219, 확률!$M$2:$M$46, "&gt;=36"))</f>
        <v/>
      </c>
      <c r="L219" s="27">
        <f>6-J219-K219</f>
        <v/>
      </c>
    </row>
    <row r="220" ht="16.5" customHeight="1" s="28">
      <c r="A220" s="31" t="n">
        <v>219</v>
      </c>
      <c r="B220" s="27" t="n">
        <v>4</v>
      </c>
      <c r="C220" s="27" t="n">
        <v>11</v>
      </c>
      <c r="D220" s="27" t="n">
        <v>20</v>
      </c>
      <c r="E220" s="27" t="n">
        <v>26</v>
      </c>
      <c r="F220" s="27" t="n">
        <v>35</v>
      </c>
      <c r="G220" s="27" t="n">
        <v>37</v>
      </c>
      <c r="H220" s="27" t="n">
        <v>16</v>
      </c>
      <c r="J220" s="27">
        <f>SUMPRODUCT(COUNTIFS(확률!$J$2:$J$46, 원본!B220:G220, 확률!$M$2:$M$46, "&lt;=20"))</f>
        <v/>
      </c>
      <c r="K220" s="27">
        <f>SUMPRODUCT(COUNTIFS(확률!$J$2:$J$46, 원본!B220:G220, 확률!$M$2:$M$46, "&gt;=36"))</f>
        <v/>
      </c>
      <c r="L220" s="27">
        <f>6-J220-K220</f>
        <v/>
      </c>
    </row>
    <row r="221" ht="16.5" customHeight="1" s="28">
      <c r="A221" s="31" t="n">
        <v>220</v>
      </c>
      <c r="B221" s="27" t="n">
        <v>5</v>
      </c>
      <c r="C221" s="27" t="n">
        <v>11</v>
      </c>
      <c r="D221" s="27" t="n">
        <v>19</v>
      </c>
      <c r="E221" s="27" t="n">
        <v>21</v>
      </c>
      <c r="F221" s="27" t="n">
        <v>34</v>
      </c>
      <c r="G221" s="27" t="n">
        <v>43</v>
      </c>
      <c r="H221" s="27" t="n">
        <v>31</v>
      </c>
      <c r="J221" s="27">
        <f>SUMPRODUCT(COUNTIFS(확률!$J$2:$J$46, 원본!B221:G221, 확률!$M$2:$M$46, "&lt;=20"))</f>
        <v/>
      </c>
      <c r="K221" s="27">
        <f>SUMPRODUCT(COUNTIFS(확률!$J$2:$J$46, 원본!B221:G221, 확률!$M$2:$M$46, "&gt;=36"))</f>
        <v/>
      </c>
      <c r="L221" s="27">
        <f>6-J221-K221</f>
        <v/>
      </c>
    </row>
    <row r="222" ht="16.5" customHeight="1" s="28">
      <c r="A222" s="31" t="n">
        <v>221</v>
      </c>
      <c r="B222" s="27" t="n">
        <v>2</v>
      </c>
      <c r="C222" s="27" t="n">
        <v>20</v>
      </c>
      <c r="D222" s="27" t="n">
        <v>33</v>
      </c>
      <c r="E222" s="27" t="n">
        <v>35</v>
      </c>
      <c r="F222" s="27" t="n">
        <v>37</v>
      </c>
      <c r="G222" s="27" t="n">
        <v>40</v>
      </c>
      <c r="H222" s="27" t="n">
        <v>10</v>
      </c>
      <c r="J222" s="27">
        <f>SUMPRODUCT(COUNTIFS(확률!$J$2:$J$46, 원본!B222:G222, 확률!$M$2:$M$46, "&lt;=20"))</f>
        <v/>
      </c>
      <c r="K222" s="27">
        <f>SUMPRODUCT(COUNTIFS(확률!$J$2:$J$46, 원본!B222:G222, 확률!$M$2:$M$46, "&gt;=36"))</f>
        <v/>
      </c>
      <c r="L222" s="27">
        <f>6-J222-K222</f>
        <v/>
      </c>
    </row>
    <row r="223" ht="16.5" customHeight="1" s="28">
      <c r="A223" s="31" t="n">
        <v>222</v>
      </c>
      <c r="B223" s="27" t="n">
        <v>5</v>
      </c>
      <c r="C223" s="27" t="n">
        <v>7</v>
      </c>
      <c r="D223" s="27" t="n">
        <v>28</v>
      </c>
      <c r="E223" s="27" t="n">
        <v>29</v>
      </c>
      <c r="F223" s="27" t="n">
        <v>39</v>
      </c>
      <c r="G223" s="27" t="n">
        <v>43</v>
      </c>
      <c r="H223" s="27" t="n">
        <v>44</v>
      </c>
      <c r="J223" s="27">
        <f>SUMPRODUCT(COUNTIFS(확률!$J$2:$J$46, 원본!B223:G223, 확률!$M$2:$M$46, "&lt;=20"))</f>
        <v/>
      </c>
      <c r="K223" s="27">
        <f>SUMPRODUCT(COUNTIFS(확률!$J$2:$J$46, 원본!B223:G223, 확률!$M$2:$M$46, "&gt;=36"))</f>
        <v/>
      </c>
      <c r="L223" s="27">
        <f>6-J223-K223</f>
        <v/>
      </c>
    </row>
    <row r="224" ht="16.5" customHeight="1" s="28">
      <c r="A224" s="31" t="n">
        <v>223</v>
      </c>
      <c r="B224" s="27" t="n">
        <v>1</v>
      </c>
      <c r="C224" s="27" t="n">
        <v>3</v>
      </c>
      <c r="D224" s="27" t="n">
        <v>18</v>
      </c>
      <c r="E224" s="27" t="n">
        <v>20</v>
      </c>
      <c r="F224" s="27" t="n">
        <v>26</v>
      </c>
      <c r="G224" s="27" t="n">
        <v>27</v>
      </c>
      <c r="H224" s="27" t="n">
        <v>38</v>
      </c>
      <c r="J224" s="27">
        <f>SUMPRODUCT(COUNTIFS(확률!$J$2:$J$46, 원본!B224:G224, 확률!$M$2:$M$46, "&lt;=20"))</f>
        <v/>
      </c>
      <c r="K224" s="27">
        <f>SUMPRODUCT(COUNTIFS(확률!$J$2:$J$46, 원본!B224:G224, 확률!$M$2:$M$46, "&gt;=36"))</f>
        <v/>
      </c>
      <c r="L224" s="27">
        <f>6-J224-K224</f>
        <v/>
      </c>
    </row>
    <row r="225" ht="16.5" customHeight="1" s="28">
      <c r="A225" s="31" t="n">
        <v>224</v>
      </c>
      <c r="B225" s="27" t="n">
        <v>4</v>
      </c>
      <c r="C225" s="27" t="n">
        <v>19</v>
      </c>
      <c r="D225" s="27" t="n">
        <v>26</v>
      </c>
      <c r="E225" s="27" t="n">
        <v>27</v>
      </c>
      <c r="F225" s="27" t="n">
        <v>30</v>
      </c>
      <c r="G225" s="27" t="n">
        <v>42</v>
      </c>
      <c r="H225" s="27" t="n">
        <v>7</v>
      </c>
      <c r="J225" s="27">
        <f>SUMPRODUCT(COUNTIFS(확률!$J$2:$J$46, 원본!B225:G225, 확률!$M$2:$M$46, "&lt;=20"))</f>
        <v/>
      </c>
      <c r="K225" s="27">
        <f>SUMPRODUCT(COUNTIFS(확률!$J$2:$J$46, 원본!B225:G225, 확률!$M$2:$M$46, "&gt;=36"))</f>
        <v/>
      </c>
      <c r="L225" s="27">
        <f>6-J225-K225</f>
        <v/>
      </c>
    </row>
    <row r="226" ht="16.5" customHeight="1" s="28">
      <c r="A226" s="31" t="n">
        <v>225</v>
      </c>
      <c r="B226" s="27" t="n">
        <v>5</v>
      </c>
      <c r="C226" s="27" t="n">
        <v>11</v>
      </c>
      <c r="D226" s="27" t="n">
        <v>13</v>
      </c>
      <c r="E226" s="27" t="n">
        <v>19</v>
      </c>
      <c r="F226" s="27" t="n">
        <v>31</v>
      </c>
      <c r="G226" s="27" t="n">
        <v>36</v>
      </c>
      <c r="H226" s="27" t="n">
        <v>7</v>
      </c>
      <c r="J226" s="27">
        <f>SUMPRODUCT(COUNTIFS(확률!$J$2:$J$46, 원본!B226:G226, 확률!$M$2:$M$46, "&lt;=20"))</f>
        <v/>
      </c>
      <c r="K226" s="27">
        <f>SUMPRODUCT(COUNTIFS(확률!$J$2:$J$46, 원본!B226:G226, 확률!$M$2:$M$46, "&gt;=36"))</f>
        <v/>
      </c>
      <c r="L226" s="27">
        <f>6-J226-K226</f>
        <v/>
      </c>
    </row>
    <row r="227" ht="16.5" customHeight="1" s="28">
      <c r="A227" s="31" t="n">
        <v>226</v>
      </c>
      <c r="B227" s="27" t="n">
        <v>2</v>
      </c>
      <c r="C227" s="27" t="n">
        <v>6</v>
      </c>
      <c r="D227" s="27" t="n">
        <v>8</v>
      </c>
      <c r="E227" s="27" t="n">
        <v>14</v>
      </c>
      <c r="F227" s="27" t="n">
        <v>21</v>
      </c>
      <c r="G227" s="27" t="n">
        <v>22</v>
      </c>
      <c r="H227" s="27" t="n">
        <v>34</v>
      </c>
      <c r="J227" s="27">
        <f>SUMPRODUCT(COUNTIFS(확률!$J$2:$J$46, 원본!B227:G227, 확률!$M$2:$M$46, "&lt;=20"))</f>
        <v/>
      </c>
      <c r="K227" s="27">
        <f>SUMPRODUCT(COUNTIFS(확률!$J$2:$J$46, 원본!B227:G227, 확률!$M$2:$M$46, "&gt;=36"))</f>
        <v/>
      </c>
      <c r="L227" s="27">
        <f>6-J227-K227</f>
        <v/>
      </c>
    </row>
    <row r="228" ht="16.5" customHeight="1" s="28">
      <c r="A228" s="31" t="n">
        <v>227</v>
      </c>
      <c r="B228" s="27" t="n">
        <v>4</v>
      </c>
      <c r="C228" s="27" t="n">
        <v>5</v>
      </c>
      <c r="D228" s="27" t="n">
        <v>15</v>
      </c>
      <c r="E228" s="27" t="n">
        <v>16</v>
      </c>
      <c r="F228" s="27" t="n">
        <v>22</v>
      </c>
      <c r="G228" s="27" t="n">
        <v>42</v>
      </c>
      <c r="H228" s="27" t="n">
        <v>2</v>
      </c>
      <c r="J228" s="27">
        <f>SUMPRODUCT(COUNTIFS(확률!$J$2:$J$46, 원본!B228:G228, 확률!$M$2:$M$46, "&lt;=20"))</f>
        <v/>
      </c>
      <c r="K228" s="27">
        <f>SUMPRODUCT(COUNTIFS(확률!$J$2:$J$46, 원본!B228:G228, 확률!$M$2:$M$46, "&gt;=36"))</f>
        <v/>
      </c>
      <c r="L228" s="27">
        <f>6-J228-K228</f>
        <v/>
      </c>
    </row>
    <row r="229" ht="16.5" customHeight="1" s="28">
      <c r="A229" s="31" t="n">
        <v>228</v>
      </c>
      <c r="B229" s="27" t="n">
        <v>17</v>
      </c>
      <c r="C229" s="27" t="n">
        <v>25</v>
      </c>
      <c r="D229" s="27" t="n">
        <v>35</v>
      </c>
      <c r="E229" s="27" t="n">
        <v>36</v>
      </c>
      <c r="F229" s="27" t="n">
        <v>39</v>
      </c>
      <c r="G229" s="27" t="n">
        <v>44</v>
      </c>
      <c r="H229" s="27" t="n">
        <v>23</v>
      </c>
      <c r="J229" s="27">
        <f>SUMPRODUCT(COUNTIFS(확률!$J$2:$J$46, 원본!B229:G229, 확률!$M$2:$M$46, "&lt;=20"))</f>
        <v/>
      </c>
      <c r="K229" s="27">
        <f>SUMPRODUCT(COUNTIFS(확률!$J$2:$J$46, 원본!B229:G229, 확률!$M$2:$M$46, "&gt;=36"))</f>
        <v/>
      </c>
      <c r="L229" s="27">
        <f>6-J229-K229</f>
        <v/>
      </c>
    </row>
    <row r="230" ht="16.5" customHeight="1" s="28">
      <c r="A230" s="31" t="n">
        <v>229</v>
      </c>
      <c r="B230" s="27" t="n">
        <v>4</v>
      </c>
      <c r="C230" s="27" t="n">
        <v>5</v>
      </c>
      <c r="D230" s="27" t="n">
        <v>9</v>
      </c>
      <c r="E230" s="27" t="n">
        <v>11</v>
      </c>
      <c r="F230" s="27" t="n">
        <v>23</v>
      </c>
      <c r="G230" s="27" t="n">
        <v>38</v>
      </c>
      <c r="H230" s="27" t="n">
        <v>35</v>
      </c>
      <c r="J230" s="27">
        <f>SUMPRODUCT(COUNTIFS(확률!$J$2:$J$46, 원본!B230:G230, 확률!$M$2:$M$46, "&lt;=20"))</f>
        <v/>
      </c>
      <c r="K230" s="27">
        <f>SUMPRODUCT(COUNTIFS(확률!$J$2:$J$46, 원본!B230:G230, 확률!$M$2:$M$46, "&gt;=36"))</f>
        <v/>
      </c>
      <c r="L230" s="27">
        <f>6-J230-K230</f>
        <v/>
      </c>
    </row>
    <row r="231" ht="16.5" customHeight="1" s="28">
      <c r="A231" s="31" t="n">
        <v>230</v>
      </c>
      <c r="B231" s="27" t="n">
        <v>5</v>
      </c>
      <c r="C231" s="27" t="n">
        <v>11</v>
      </c>
      <c r="D231" s="27" t="n">
        <v>14</v>
      </c>
      <c r="E231" s="27" t="n">
        <v>29</v>
      </c>
      <c r="F231" s="27" t="n">
        <v>32</v>
      </c>
      <c r="G231" s="27" t="n">
        <v>33</v>
      </c>
      <c r="H231" s="27" t="n">
        <v>12</v>
      </c>
      <c r="J231" s="27">
        <f>SUMPRODUCT(COUNTIFS(확률!$J$2:$J$46, 원본!B231:G231, 확률!$M$2:$M$46, "&lt;=20"))</f>
        <v/>
      </c>
      <c r="K231" s="27">
        <f>SUMPRODUCT(COUNTIFS(확률!$J$2:$J$46, 원본!B231:G231, 확률!$M$2:$M$46, "&gt;=36"))</f>
        <v/>
      </c>
      <c r="L231" s="27">
        <f>6-J231-K231</f>
        <v/>
      </c>
    </row>
    <row r="232" ht="16.5" customHeight="1" s="28">
      <c r="A232" s="31" t="n">
        <v>231</v>
      </c>
      <c r="B232" s="27" t="n">
        <v>5</v>
      </c>
      <c r="C232" s="27" t="n">
        <v>10</v>
      </c>
      <c r="D232" s="27" t="n">
        <v>19</v>
      </c>
      <c r="E232" s="27" t="n">
        <v>31</v>
      </c>
      <c r="F232" s="27" t="n">
        <v>44</v>
      </c>
      <c r="G232" s="27" t="n">
        <v>45</v>
      </c>
      <c r="H232" s="27" t="n">
        <v>27</v>
      </c>
      <c r="J232" s="27">
        <f>SUMPRODUCT(COUNTIFS(확률!$J$2:$J$46, 원본!B232:G232, 확률!$M$2:$M$46, "&lt;=20"))</f>
        <v/>
      </c>
      <c r="K232" s="27">
        <f>SUMPRODUCT(COUNTIFS(확률!$J$2:$J$46, 원본!B232:G232, 확률!$M$2:$M$46, "&gt;=36"))</f>
        <v/>
      </c>
      <c r="L232" s="27">
        <f>6-J232-K232</f>
        <v/>
      </c>
    </row>
    <row r="233" ht="16.5" customHeight="1" s="28">
      <c r="A233" s="31" t="n">
        <v>232</v>
      </c>
      <c r="B233" s="27" t="n">
        <v>8</v>
      </c>
      <c r="C233" s="27" t="n">
        <v>9</v>
      </c>
      <c r="D233" s="27" t="n">
        <v>10</v>
      </c>
      <c r="E233" s="27" t="n">
        <v>12</v>
      </c>
      <c r="F233" s="27" t="n">
        <v>24</v>
      </c>
      <c r="G233" s="27" t="n">
        <v>44</v>
      </c>
      <c r="H233" s="27" t="n">
        <v>35</v>
      </c>
      <c r="J233" s="27">
        <f>SUMPRODUCT(COUNTIFS(확률!$J$2:$J$46, 원본!B233:G233, 확률!$M$2:$M$46, "&lt;=20"))</f>
        <v/>
      </c>
      <c r="K233" s="27">
        <f>SUMPRODUCT(COUNTIFS(확률!$J$2:$J$46, 원본!B233:G233, 확률!$M$2:$M$46, "&gt;=36"))</f>
        <v/>
      </c>
      <c r="L233" s="27">
        <f>6-J233-K233</f>
        <v/>
      </c>
    </row>
    <row r="234" ht="16.5" customHeight="1" s="28">
      <c r="A234" s="31" t="n">
        <v>233</v>
      </c>
      <c r="B234" s="27" t="n">
        <v>4</v>
      </c>
      <c r="C234" s="27" t="n">
        <v>6</v>
      </c>
      <c r="D234" s="27" t="n">
        <v>13</v>
      </c>
      <c r="E234" s="27" t="n">
        <v>17</v>
      </c>
      <c r="F234" s="27" t="n">
        <v>28</v>
      </c>
      <c r="G234" s="27" t="n">
        <v>40</v>
      </c>
      <c r="H234" s="27" t="n">
        <v>39</v>
      </c>
      <c r="J234" s="27">
        <f>SUMPRODUCT(COUNTIFS(확률!$J$2:$J$46, 원본!B234:G234, 확률!$M$2:$M$46, "&lt;=20"))</f>
        <v/>
      </c>
      <c r="K234" s="27">
        <f>SUMPRODUCT(COUNTIFS(확률!$J$2:$J$46, 원본!B234:G234, 확률!$M$2:$M$46, "&gt;=36"))</f>
        <v/>
      </c>
      <c r="L234" s="27">
        <f>6-J234-K234</f>
        <v/>
      </c>
    </row>
    <row r="235" ht="16.5" customHeight="1" s="28">
      <c r="A235" s="31" t="n">
        <v>234</v>
      </c>
      <c r="B235" s="27" t="n">
        <v>13</v>
      </c>
      <c r="C235" s="27" t="n">
        <v>21</v>
      </c>
      <c r="D235" s="27" t="n">
        <v>22</v>
      </c>
      <c r="E235" s="27" t="n">
        <v>24</v>
      </c>
      <c r="F235" s="27" t="n">
        <v>26</v>
      </c>
      <c r="G235" s="27" t="n">
        <v>37</v>
      </c>
      <c r="H235" s="27" t="n">
        <v>4</v>
      </c>
      <c r="J235" s="27">
        <f>SUMPRODUCT(COUNTIFS(확률!$J$2:$J$46, 원본!B235:G235, 확률!$M$2:$M$46, "&lt;=20"))</f>
        <v/>
      </c>
      <c r="K235" s="27">
        <f>SUMPRODUCT(COUNTIFS(확률!$J$2:$J$46, 원본!B235:G235, 확률!$M$2:$M$46, "&gt;=36"))</f>
        <v/>
      </c>
      <c r="L235" s="27">
        <f>6-J235-K235</f>
        <v/>
      </c>
    </row>
    <row r="236" ht="16.5" customHeight="1" s="28">
      <c r="A236" s="31" t="n">
        <v>235</v>
      </c>
      <c r="B236" s="27" t="n">
        <v>21</v>
      </c>
      <c r="C236" s="27" t="n">
        <v>22</v>
      </c>
      <c r="D236" s="27" t="n">
        <v>26</v>
      </c>
      <c r="E236" s="27" t="n">
        <v>27</v>
      </c>
      <c r="F236" s="27" t="n">
        <v>31</v>
      </c>
      <c r="G236" s="27" t="n">
        <v>37</v>
      </c>
      <c r="H236" s="27" t="n">
        <v>8</v>
      </c>
      <c r="J236" s="27">
        <f>SUMPRODUCT(COUNTIFS(확률!$J$2:$J$46, 원본!B236:G236, 확률!$M$2:$M$46, "&lt;=20"))</f>
        <v/>
      </c>
      <c r="K236" s="27">
        <f>SUMPRODUCT(COUNTIFS(확률!$J$2:$J$46, 원본!B236:G236, 확률!$M$2:$M$46, "&gt;=36"))</f>
        <v/>
      </c>
      <c r="L236" s="27">
        <f>6-J236-K236</f>
        <v/>
      </c>
    </row>
    <row r="237" ht="16.5" customHeight="1" s="28">
      <c r="A237" s="31" t="n">
        <v>236</v>
      </c>
      <c r="B237" s="27" t="n">
        <v>1</v>
      </c>
      <c r="C237" s="27" t="n">
        <v>4</v>
      </c>
      <c r="D237" s="27" t="n">
        <v>8</v>
      </c>
      <c r="E237" s="27" t="n">
        <v>13</v>
      </c>
      <c r="F237" s="27" t="n">
        <v>37</v>
      </c>
      <c r="G237" s="27" t="n">
        <v>39</v>
      </c>
      <c r="H237" s="27" t="n">
        <v>7</v>
      </c>
      <c r="J237" s="27">
        <f>SUMPRODUCT(COUNTIFS(확률!$J$2:$J$46, 원본!B237:G237, 확률!$M$2:$M$46, "&lt;=20"))</f>
        <v/>
      </c>
      <c r="K237" s="27">
        <f>SUMPRODUCT(COUNTIFS(확률!$J$2:$J$46, 원본!B237:G237, 확률!$M$2:$M$46, "&gt;=36"))</f>
        <v/>
      </c>
      <c r="L237" s="27">
        <f>6-J237-K237</f>
        <v/>
      </c>
    </row>
    <row r="238" ht="16.5" customHeight="1" s="28">
      <c r="A238" s="31" t="n">
        <v>237</v>
      </c>
      <c r="B238" s="27" t="n">
        <v>1</v>
      </c>
      <c r="C238" s="27" t="n">
        <v>11</v>
      </c>
      <c r="D238" s="27" t="n">
        <v>17</v>
      </c>
      <c r="E238" s="27" t="n">
        <v>21</v>
      </c>
      <c r="F238" s="27" t="n">
        <v>24</v>
      </c>
      <c r="G238" s="27" t="n">
        <v>44</v>
      </c>
      <c r="H238" s="27" t="n">
        <v>33</v>
      </c>
      <c r="J238" s="27">
        <f>SUMPRODUCT(COUNTIFS(확률!$J$2:$J$46, 원본!B238:G238, 확률!$M$2:$M$46, "&lt;=20"))</f>
        <v/>
      </c>
      <c r="K238" s="27">
        <f>SUMPRODUCT(COUNTIFS(확률!$J$2:$J$46, 원본!B238:G238, 확률!$M$2:$M$46, "&gt;=36"))</f>
        <v/>
      </c>
      <c r="L238" s="27">
        <f>6-J238-K238</f>
        <v/>
      </c>
    </row>
    <row r="239" ht="16.5" customHeight="1" s="28">
      <c r="A239" s="31" t="n">
        <v>238</v>
      </c>
      <c r="B239" s="27" t="n">
        <v>2</v>
      </c>
      <c r="C239" s="27" t="n">
        <v>4</v>
      </c>
      <c r="D239" s="27" t="n">
        <v>15</v>
      </c>
      <c r="E239" s="27" t="n">
        <v>28</v>
      </c>
      <c r="F239" s="27" t="n">
        <v>31</v>
      </c>
      <c r="G239" s="27" t="n">
        <v>34</v>
      </c>
      <c r="H239" s="27" t="n">
        <v>35</v>
      </c>
      <c r="J239" s="27">
        <f>SUMPRODUCT(COUNTIFS(확률!$J$2:$J$46, 원본!B239:G239, 확률!$M$2:$M$46, "&lt;=20"))</f>
        <v/>
      </c>
      <c r="K239" s="27">
        <f>SUMPRODUCT(COUNTIFS(확률!$J$2:$J$46, 원본!B239:G239, 확률!$M$2:$M$46, "&gt;=36"))</f>
        <v/>
      </c>
      <c r="L239" s="27">
        <f>6-J239-K239</f>
        <v/>
      </c>
    </row>
    <row r="240" ht="16.5" customHeight="1" s="28">
      <c r="A240" s="31" t="n">
        <v>239</v>
      </c>
      <c r="B240" s="27" t="n">
        <v>11</v>
      </c>
      <c r="C240" s="27" t="n">
        <v>15</v>
      </c>
      <c r="D240" s="27" t="n">
        <v>24</v>
      </c>
      <c r="E240" s="27" t="n">
        <v>39</v>
      </c>
      <c r="F240" s="27" t="n">
        <v>41</v>
      </c>
      <c r="G240" s="27" t="n">
        <v>44</v>
      </c>
      <c r="H240" s="27" t="n">
        <v>7</v>
      </c>
      <c r="J240" s="27">
        <f>SUMPRODUCT(COUNTIFS(확률!$J$2:$J$46, 원본!B240:G240, 확률!$M$2:$M$46, "&lt;=20"))</f>
        <v/>
      </c>
      <c r="K240" s="27">
        <f>SUMPRODUCT(COUNTIFS(확률!$J$2:$J$46, 원본!B240:G240, 확률!$M$2:$M$46, "&gt;=36"))</f>
        <v/>
      </c>
      <c r="L240" s="27">
        <f>6-J240-K240</f>
        <v/>
      </c>
    </row>
    <row r="241" ht="16.5" customHeight="1" s="28">
      <c r="A241" s="31" t="n">
        <v>240</v>
      </c>
      <c r="B241" s="27" t="n">
        <v>6</v>
      </c>
      <c r="C241" s="27" t="n">
        <v>10</v>
      </c>
      <c r="D241" s="27" t="n">
        <v>16</v>
      </c>
      <c r="E241" s="27" t="n">
        <v>40</v>
      </c>
      <c r="F241" s="27" t="n">
        <v>41</v>
      </c>
      <c r="G241" s="27" t="n">
        <v>43</v>
      </c>
      <c r="H241" s="27" t="n">
        <v>21</v>
      </c>
      <c r="J241" s="27">
        <f>SUMPRODUCT(COUNTIFS(확률!$J$2:$J$46, 원본!B241:G241, 확률!$M$2:$M$46, "&lt;=20"))</f>
        <v/>
      </c>
      <c r="K241" s="27">
        <f>SUMPRODUCT(COUNTIFS(확률!$J$2:$J$46, 원본!B241:G241, 확률!$M$2:$M$46, "&gt;=36"))</f>
        <v/>
      </c>
      <c r="L241" s="27">
        <f>6-J241-K241</f>
        <v/>
      </c>
    </row>
    <row r="242" ht="16.5" customHeight="1" s="28">
      <c r="A242" s="31" t="n">
        <v>241</v>
      </c>
      <c r="B242" s="27" t="n">
        <v>2</v>
      </c>
      <c r="C242" s="27" t="n">
        <v>16</v>
      </c>
      <c r="D242" s="27" t="n">
        <v>24</v>
      </c>
      <c r="E242" s="27" t="n">
        <v>27</v>
      </c>
      <c r="F242" s="27" t="n">
        <v>28</v>
      </c>
      <c r="G242" s="27" t="n">
        <v>35</v>
      </c>
      <c r="H242" s="27" t="n">
        <v>21</v>
      </c>
      <c r="J242" s="27">
        <f>SUMPRODUCT(COUNTIFS(확률!$J$2:$J$46, 원본!B242:G242, 확률!$M$2:$M$46, "&lt;=20"))</f>
        <v/>
      </c>
      <c r="K242" s="27">
        <f>SUMPRODUCT(COUNTIFS(확률!$J$2:$J$46, 원본!B242:G242, 확률!$M$2:$M$46, "&gt;=36"))</f>
        <v/>
      </c>
      <c r="L242" s="27">
        <f>6-J242-K242</f>
        <v/>
      </c>
    </row>
    <row r="243" ht="16.5" customHeight="1" s="28">
      <c r="A243" s="31" t="n">
        <v>242</v>
      </c>
      <c r="B243" s="27" t="n">
        <v>4</v>
      </c>
      <c r="C243" s="27" t="n">
        <v>19</v>
      </c>
      <c r="D243" s="27" t="n">
        <v>20</v>
      </c>
      <c r="E243" s="27" t="n">
        <v>21</v>
      </c>
      <c r="F243" s="27" t="n">
        <v>32</v>
      </c>
      <c r="G243" s="27" t="n">
        <v>34</v>
      </c>
      <c r="H243" s="27" t="n">
        <v>43</v>
      </c>
      <c r="J243" s="27">
        <f>SUMPRODUCT(COUNTIFS(확률!$J$2:$J$46, 원본!B243:G243, 확률!$M$2:$M$46, "&lt;=20"))</f>
        <v/>
      </c>
      <c r="K243" s="27">
        <f>SUMPRODUCT(COUNTIFS(확률!$J$2:$J$46, 원본!B243:G243, 확률!$M$2:$M$46, "&gt;=36"))</f>
        <v/>
      </c>
      <c r="L243" s="27">
        <f>6-J243-K243</f>
        <v/>
      </c>
    </row>
    <row r="244" ht="16.5" customHeight="1" s="28">
      <c r="A244" s="31" t="n">
        <v>243</v>
      </c>
      <c r="B244" s="27" t="n">
        <v>2</v>
      </c>
      <c r="C244" s="27" t="n">
        <v>12</v>
      </c>
      <c r="D244" s="27" t="n">
        <v>17</v>
      </c>
      <c r="E244" s="27" t="n">
        <v>19</v>
      </c>
      <c r="F244" s="27" t="n">
        <v>28</v>
      </c>
      <c r="G244" s="27" t="n">
        <v>42</v>
      </c>
      <c r="H244" s="27" t="n">
        <v>34</v>
      </c>
      <c r="J244" s="27">
        <f>SUMPRODUCT(COUNTIFS(확률!$J$2:$J$46, 원본!B244:G244, 확률!$M$2:$M$46, "&lt;=20"))</f>
        <v/>
      </c>
      <c r="K244" s="27">
        <f>SUMPRODUCT(COUNTIFS(확률!$J$2:$J$46, 원본!B244:G244, 확률!$M$2:$M$46, "&gt;=36"))</f>
        <v/>
      </c>
      <c r="L244" s="27">
        <f>6-J244-K244</f>
        <v/>
      </c>
    </row>
    <row r="245" ht="16.5" customHeight="1" s="28">
      <c r="A245" s="31" t="n">
        <v>244</v>
      </c>
      <c r="B245" s="27" t="n">
        <v>13</v>
      </c>
      <c r="C245" s="27" t="n">
        <v>16</v>
      </c>
      <c r="D245" s="27" t="n">
        <v>25</v>
      </c>
      <c r="E245" s="27" t="n">
        <v>36</v>
      </c>
      <c r="F245" s="27" t="n">
        <v>37</v>
      </c>
      <c r="G245" s="27" t="n">
        <v>38</v>
      </c>
      <c r="H245" s="27" t="n">
        <v>19</v>
      </c>
      <c r="J245" s="27">
        <f>SUMPRODUCT(COUNTIFS(확률!$J$2:$J$46, 원본!B245:G245, 확률!$M$2:$M$46, "&lt;=20"))</f>
        <v/>
      </c>
      <c r="K245" s="27">
        <f>SUMPRODUCT(COUNTIFS(확률!$J$2:$J$46, 원본!B245:G245, 확률!$M$2:$M$46, "&gt;=36"))</f>
        <v/>
      </c>
      <c r="L245" s="27">
        <f>6-J245-K245</f>
        <v/>
      </c>
    </row>
    <row r="246" ht="16.5" customHeight="1" s="28">
      <c r="A246" s="31" t="n">
        <v>245</v>
      </c>
      <c r="B246" s="27" t="n">
        <v>9</v>
      </c>
      <c r="C246" s="27" t="n">
        <v>11</v>
      </c>
      <c r="D246" s="27" t="n">
        <v>27</v>
      </c>
      <c r="E246" s="27" t="n">
        <v>31</v>
      </c>
      <c r="F246" s="27" t="n">
        <v>32</v>
      </c>
      <c r="G246" s="27" t="n">
        <v>38</v>
      </c>
      <c r="H246" s="27" t="n">
        <v>22</v>
      </c>
      <c r="J246" s="27">
        <f>SUMPRODUCT(COUNTIFS(확률!$J$2:$J$46, 원본!B246:G246, 확률!$M$2:$M$46, "&lt;=20"))</f>
        <v/>
      </c>
      <c r="K246" s="27">
        <f>SUMPRODUCT(COUNTIFS(확률!$J$2:$J$46, 원본!B246:G246, 확률!$M$2:$M$46, "&gt;=36"))</f>
        <v/>
      </c>
      <c r="L246" s="27">
        <f>6-J246-K246</f>
        <v/>
      </c>
    </row>
    <row r="247" ht="16.5" customHeight="1" s="28">
      <c r="A247" s="31" t="n">
        <v>246</v>
      </c>
      <c r="B247" s="27" t="n">
        <v>13</v>
      </c>
      <c r="C247" s="27" t="n">
        <v>18</v>
      </c>
      <c r="D247" s="27" t="n">
        <v>21</v>
      </c>
      <c r="E247" s="27" t="n">
        <v>23</v>
      </c>
      <c r="F247" s="27" t="n">
        <v>26</v>
      </c>
      <c r="G247" s="27" t="n">
        <v>39</v>
      </c>
      <c r="H247" s="27" t="n">
        <v>15</v>
      </c>
      <c r="J247" s="27">
        <f>SUMPRODUCT(COUNTIFS(확률!$J$2:$J$46, 원본!B247:G247, 확률!$M$2:$M$46, "&lt;=20"))</f>
        <v/>
      </c>
      <c r="K247" s="27">
        <f>SUMPRODUCT(COUNTIFS(확률!$J$2:$J$46, 원본!B247:G247, 확률!$M$2:$M$46, "&gt;=36"))</f>
        <v/>
      </c>
      <c r="L247" s="27">
        <f>6-J247-K247</f>
        <v/>
      </c>
    </row>
    <row r="248" ht="16.5" customHeight="1" s="28">
      <c r="A248" s="31" t="n">
        <v>247</v>
      </c>
      <c r="B248" s="27" t="n">
        <v>12</v>
      </c>
      <c r="C248" s="27" t="n">
        <v>15</v>
      </c>
      <c r="D248" s="27" t="n">
        <v>28</v>
      </c>
      <c r="E248" s="27" t="n">
        <v>36</v>
      </c>
      <c r="F248" s="27" t="n">
        <v>39</v>
      </c>
      <c r="G248" s="27" t="n">
        <v>40</v>
      </c>
      <c r="H248" s="27" t="n">
        <v>13</v>
      </c>
      <c r="J248" s="27">
        <f>SUMPRODUCT(COUNTIFS(확률!$J$2:$J$46, 원본!B248:G248, 확률!$M$2:$M$46, "&lt;=20"))</f>
        <v/>
      </c>
      <c r="K248" s="27">
        <f>SUMPRODUCT(COUNTIFS(확률!$J$2:$J$46, 원본!B248:G248, 확률!$M$2:$M$46, "&gt;=36"))</f>
        <v/>
      </c>
      <c r="L248" s="27">
        <f>6-J248-K248</f>
        <v/>
      </c>
    </row>
    <row r="249" ht="16.5" customHeight="1" s="28">
      <c r="A249" s="31" t="n">
        <v>248</v>
      </c>
      <c r="B249" s="27" t="n">
        <v>3</v>
      </c>
      <c r="C249" s="27" t="n">
        <v>8</v>
      </c>
      <c r="D249" s="27" t="n">
        <v>17</v>
      </c>
      <c r="E249" s="27" t="n">
        <v>23</v>
      </c>
      <c r="F249" s="27" t="n">
        <v>38</v>
      </c>
      <c r="G249" s="27" t="n">
        <v>45</v>
      </c>
      <c r="H249" s="27" t="n">
        <v>13</v>
      </c>
      <c r="J249" s="27">
        <f>SUMPRODUCT(COUNTIFS(확률!$J$2:$J$46, 원본!B249:G249, 확률!$M$2:$M$46, "&lt;=20"))</f>
        <v/>
      </c>
      <c r="K249" s="27">
        <f>SUMPRODUCT(COUNTIFS(확률!$J$2:$J$46, 원본!B249:G249, 확률!$M$2:$M$46, "&gt;=36"))</f>
        <v/>
      </c>
      <c r="L249" s="27">
        <f>6-J249-K249</f>
        <v/>
      </c>
    </row>
    <row r="250" ht="16.5" customHeight="1" s="28">
      <c r="A250" s="31" t="n">
        <v>249</v>
      </c>
      <c r="B250" s="27" t="n">
        <v>3</v>
      </c>
      <c r="C250" s="27" t="n">
        <v>8</v>
      </c>
      <c r="D250" s="27" t="n">
        <v>27</v>
      </c>
      <c r="E250" s="27" t="n">
        <v>31</v>
      </c>
      <c r="F250" s="27" t="n">
        <v>41</v>
      </c>
      <c r="G250" s="27" t="n">
        <v>44</v>
      </c>
      <c r="H250" s="27" t="n">
        <v>11</v>
      </c>
      <c r="J250" s="27">
        <f>SUMPRODUCT(COUNTIFS(확률!$J$2:$J$46, 원본!B250:G250, 확률!$M$2:$M$46, "&lt;=20"))</f>
        <v/>
      </c>
      <c r="K250" s="27">
        <f>SUMPRODUCT(COUNTIFS(확률!$J$2:$J$46, 원본!B250:G250, 확률!$M$2:$M$46, "&gt;=36"))</f>
        <v/>
      </c>
      <c r="L250" s="27">
        <f>6-J250-K250</f>
        <v/>
      </c>
    </row>
    <row r="251" ht="16.5" customHeight="1" s="28">
      <c r="A251" s="31" t="n">
        <v>250</v>
      </c>
      <c r="B251" s="27" t="n">
        <v>19</v>
      </c>
      <c r="C251" s="27" t="n">
        <v>23</v>
      </c>
      <c r="D251" s="27" t="n">
        <v>30</v>
      </c>
      <c r="E251" s="27" t="n">
        <v>37</v>
      </c>
      <c r="F251" s="27" t="n">
        <v>43</v>
      </c>
      <c r="G251" s="27" t="n">
        <v>45</v>
      </c>
      <c r="H251" s="27" t="n">
        <v>38</v>
      </c>
      <c r="J251" s="27">
        <f>SUMPRODUCT(COUNTIFS(확률!$J$2:$J$46, 원본!B251:G251, 확률!$M$2:$M$46, "&lt;=20"))</f>
        <v/>
      </c>
      <c r="K251" s="27">
        <f>SUMPRODUCT(COUNTIFS(확률!$J$2:$J$46, 원본!B251:G251, 확률!$M$2:$M$46, "&gt;=36"))</f>
        <v/>
      </c>
      <c r="L251" s="27">
        <f>6-J251-K251</f>
        <v/>
      </c>
    </row>
    <row r="252" ht="16.5" customHeight="1" s="28">
      <c r="A252" s="31" t="n">
        <v>251</v>
      </c>
      <c r="B252" s="27" t="n">
        <v>6</v>
      </c>
      <c r="C252" s="27" t="n">
        <v>7</v>
      </c>
      <c r="D252" s="27" t="n">
        <v>19</v>
      </c>
      <c r="E252" s="27" t="n">
        <v>15</v>
      </c>
      <c r="F252" s="27" t="n">
        <v>28</v>
      </c>
      <c r="G252" s="27" t="n">
        <v>38</v>
      </c>
      <c r="H252" s="27" t="n">
        <v>45</v>
      </c>
      <c r="J252" s="27">
        <f>SUMPRODUCT(COUNTIFS(확률!$J$2:$J$46, 원본!B252:G252, 확률!$M$2:$M$46, "&lt;=20"))</f>
        <v/>
      </c>
      <c r="K252" s="27">
        <f>SUMPRODUCT(COUNTIFS(확률!$J$2:$J$46, 원본!B252:G252, 확률!$M$2:$M$46, "&gt;=36"))</f>
        <v/>
      </c>
      <c r="L252" s="27">
        <f>6-J252-K252</f>
        <v/>
      </c>
    </row>
    <row r="253" ht="16.5" customHeight="1" s="28">
      <c r="A253" s="31" t="n">
        <v>252</v>
      </c>
      <c r="B253" s="27" t="n">
        <v>14</v>
      </c>
      <c r="C253" s="27" t="n">
        <v>23</v>
      </c>
      <c r="D253" s="27" t="n">
        <v>26</v>
      </c>
      <c r="E253" s="27" t="n">
        <v>31</v>
      </c>
      <c r="F253" s="27" t="n">
        <v>39</v>
      </c>
      <c r="G253" s="27" t="n">
        <v>45</v>
      </c>
      <c r="H253" s="27" t="n">
        <v>28</v>
      </c>
      <c r="J253" s="27">
        <f>SUMPRODUCT(COUNTIFS(확률!$J$2:$J$46, 원본!B253:G253, 확률!$M$2:$M$46, "&lt;=20"))</f>
        <v/>
      </c>
      <c r="K253" s="27">
        <f>SUMPRODUCT(COUNTIFS(확률!$J$2:$J$46, 원본!B253:G253, 확률!$M$2:$M$46, "&gt;=36"))</f>
        <v/>
      </c>
      <c r="L253" s="27">
        <f>6-J253-K253</f>
        <v/>
      </c>
    </row>
    <row r="254" ht="16.5" customHeight="1" s="28">
      <c r="A254" s="31" t="n">
        <v>253</v>
      </c>
      <c r="B254" s="27" t="n">
        <v>8</v>
      </c>
      <c r="C254" s="27" t="n">
        <v>19</v>
      </c>
      <c r="D254" s="27" t="n">
        <v>25</v>
      </c>
      <c r="E254" s="27" t="n">
        <v>31</v>
      </c>
      <c r="F254" s="27" t="n">
        <v>34</v>
      </c>
      <c r="G254" s="27" t="n">
        <v>36</v>
      </c>
      <c r="H254" s="27" t="n">
        <v>33</v>
      </c>
      <c r="J254" s="27">
        <f>SUMPRODUCT(COUNTIFS(확률!$J$2:$J$46, 원본!B254:G254, 확률!$M$2:$M$46, "&lt;=20"))</f>
        <v/>
      </c>
      <c r="K254" s="27">
        <f>SUMPRODUCT(COUNTIFS(확률!$J$2:$J$46, 원본!B254:G254, 확률!$M$2:$M$46, "&gt;=36"))</f>
        <v/>
      </c>
      <c r="L254" s="27">
        <f>6-J254-K254</f>
        <v/>
      </c>
    </row>
    <row r="255" ht="16.5" customHeight="1" s="28">
      <c r="A255" s="31" t="n">
        <v>254</v>
      </c>
      <c r="B255" s="27" t="n">
        <v>1</v>
      </c>
      <c r="C255" s="27" t="n">
        <v>5</v>
      </c>
      <c r="D255" s="27" t="n">
        <v>19</v>
      </c>
      <c r="E255" s="27" t="n">
        <v>20</v>
      </c>
      <c r="F255" s="27" t="n">
        <v>24</v>
      </c>
      <c r="G255" s="27" t="n">
        <v>30</v>
      </c>
      <c r="H255" s="27" t="n">
        <v>27</v>
      </c>
      <c r="J255" s="27">
        <f>SUMPRODUCT(COUNTIFS(확률!$J$2:$J$46, 원본!B255:G255, 확률!$M$2:$M$46, "&lt;=20"))</f>
        <v/>
      </c>
      <c r="K255" s="27">
        <f>SUMPRODUCT(COUNTIFS(확률!$J$2:$J$46, 원본!B255:G255, 확률!$M$2:$M$46, "&gt;=36"))</f>
        <v/>
      </c>
      <c r="L255" s="27">
        <f>6-J255-K255</f>
        <v/>
      </c>
    </row>
    <row r="256" ht="16.5" customHeight="1" s="28">
      <c r="A256" s="31" t="n">
        <v>255</v>
      </c>
      <c r="B256" s="27" t="n">
        <v>1</v>
      </c>
      <c r="C256" s="27" t="n">
        <v>5</v>
      </c>
      <c r="D256" s="27" t="n">
        <v>6</v>
      </c>
      <c r="E256" s="27" t="n">
        <v>24</v>
      </c>
      <c r="F256" s="27" t="n">
        <v>27</v>
      </c>
      <c r="G256" s="27" t="n">
        <v>42</v>
      </c>
      <c r="H256" s="27" t="n">
        <v>32</v>
      </c>
      <c r="J256" s="27">
        <f>SUMPRODUCT(COUNTIFS(확률!$J$2:$J$46, 원본!B256:G256, 확률!$M$2:$M$46, "&lt;=20"))</f>
        <v/>
      </c>
      <c r="K256" s="27">
        <f>SUMPRODUCT(COUNTIFS(확률!$J$2:$J$46, 원본!B256:G256, 확률!$M$2:$M$46, "&gt;=36"))</f>
        <v/>
      </c>
      <c r="L256" s="27">
        <f>6-J256-K256</f>
        <v/>
      </c>
    </row>
    <row r="257" ht="16.5" customHeight="1" s="28">
      <c r="A257" s="31" t="n">
        <v>256</v>
      </c>
      <c r="B257" s="27" t="n">
        <v>4</v>
      </c>
      <c r="C257" s="27" t="n">
        <v>11</v>
      </c>
      <c r="D257" s="27" t="n">
        <v>14</v>
      </c>
      <c r="E257" s="27" t="n">
        <v>21</v>
      </c>
      <c r="F257" s="27" t="n">
        <v>23</v>
      </c>
      <c r="G257" s="27" t="n">
        <v>43</v>
      </c>
      <c r="H257" s="27" t="n">
        <v>32</v>
      </c>
      <c r="J257" s="27">
        <f>SUMPRODUCT(COUNTIFS(확률!$J$2:$J$46, 원본!B257:G257, 확률!$M$2:$M$46, "&lt;=20"))</f>
        <v/>
      </c>
      <c r="K257" s="27">
        <f>SUMPRODUCT(COUNTIFS(확률!$J$2:$J$46, 원본!B257:G257, 확률!$M$2:$M$46, "&gt;=36"))</f>
        <v/>
      </c>
      <c r="L257" s="27">
        <f>6-J257-K257</f>
        <v/>
      </c>
    </row>
    <row r="258" ht="16.5" customHeight="1" s="28">
      <c r="A258" s="31" t="n">
        <v>257</v>
      </c>
      <c r="B258" s="27" t="n">
        <v>6</v>
      </c>
      <c r="C258" s="27" t="n">
        <v>13</v>
      </c>
      <c r="D258" s="27" t="n">
        <v>27</v>
      </c>
      <c r="E258" s="27" t="n">
        <v>31</v>
      </c>
      <c r="F258" s="27" t="n">
        <v>32</v>
      </c>
      <c r="G258" s="27" t="n">
        <v>37</v>
      </c>
      <c r="H258" s="27" t="n">
        <v>4</v>
      </c>
      <c r="J258" s="27">
        <f>SUMPRODUCT(COUNTIFS(확률!$J$2:$J$46, 원본!B258:G258, 확률!$M$2:$M$46, "&lt;=20"))</f>
        <v/>
      </c>
      <c r="K258" s="27">
        <f>SUMPRODUCT(COUNTIFS(확률!$J$2:$J$46, 원본!B258:G258, 확률!$M$2:$M$46, "&gt;=36"))</f>
        <v/>
      </c>
      <c r="L258" s="27">
        <f>6-J258-K258</f>
        <v/>
      </c>
    </row>
    <row r="259" ht="16.5" customHeight="1" s="28">
      <c r="A259" s="31" t="n">
        <v>258</v>
      </c>
      <c r="B259" s="27" t="n">
        <v>14</v>
      </c>
      <c r="C259" s="27" t="n">
        <v>27</v>
      </c>
      <c r="D259" s="27" t="n">
        <v>30</v>
      </c>
      <c r="E259" s="27" t="n">
        <v>31</v>
      </c>
      <c r="F259" s="27" t="n">
        <v>38</v>
      </c>
      <c r="G259" s="27" t="n">
        <v>40</v>
      </c>
      <c r="H259" s="27" t="n">
        <v>17</v>
      </c>
      <c r="J259" s="27">
        <f>SUMPRODUCT(COUNTIFS(확률!$J$2:$J$46, 원본!B259:G259, 확률!$M$2:$M$46, "&lt;=20"))</f>
        <v/>
      </c>
      <c r="K259" s="27">
        <f>SUMPRODUCT(COUNTIFS(확률!$J$2:$J$46, 원본!B259:G259, 확률!$M$2:$M$46, "&gt;=36"))</f>
        <v/>
      </c>
      <c r="L259" s="27">
        <f>6-J259-K259</f>
        <v/>
      </c>
    </row>
    <row r="260" ht="16.5" customHeight="1" s="28">
      <c r="A260" s="31" t="n">
        <v>259</v>
      </c>
      <c r="B260" s="27" t="n">
        <v>4</v>
      </c>
      <c r="C260" s="27" t="n">
        <v>5</v>
      </c>
      <c r="D260" s="27" t="n">
        <v>14</v>
      </c>
      <c r="E260" s="27" t="n">
        <v>35</v>
      </c>
      <c r="F260" s="27" t="n">
        <v>42</v>
      </c>
      <c r="G260" s="27" t="n">
        <v>45</v>
      </c>
      <c r="H260" s="27" t="n">
        <v>34</v>
      </c>
      <c r="J260" s="27">
        <f>SUMPRODUCT(COUNTIFS(확률!$J$2:$J$46, 원본!B260:G260, 확률!$M$2:$M$46, "&lt;=20"))</f>
        <v/>
      </c>
      <c r="K260" s="27">
        <f>SUMPRODUCT(COUNTIFS(확률!$J$2:$J$46, 원본!B260:G260, 확률!$M$2:$M$46, "&gt;=36"))</f>
        <v/>
      </c>
      <c r="L260" s="27">
        <f>6-J260-K260</f>
        <v/>
      </c>
    </row>
    <row r="261" ht="16.5" customHeight="1" s="28">
      <c r="A261" s="31" t="n">
        <v>260</v>
      </c>
      <c r="B261" s="27" t="n">
        <v>7</v>
      </c>
      <c r="C261" s="27" t="n">
        <v>12</v>
      </c>
      <c r="D261" s="27" t="n">
        <v>15</v>
      </c>
      <c r="E261" s="27" t="n">
        <v>24</v>
      </c>
      <c r="F261" s="27" t="n">
        <v>37</v>
      </c>
      <c r="G261" s="27" t="n">
        <v>40</v>
      </c>
      <c r="H261" s="27" t="n">
        <v>43</v>
      </c>
      <c r="J261" s="27">
        <f>SUMPRODUCT(COUNTIFS(확률!$J$2:$J$46, 원본!B261:G261, 확률!$M$2:$M$46, "&lt;=20"))</f>
        <v/>
      </c>
      <c r="K261" s="27">
        <f>SUMPRODUCT(COUNTIFS(확률!$J$2:$J$46, 원본!B261:G261, 확률!$M$2:$M$46, "&gt;=36"))</f>
        <v/>
      </c>
      <c r="L261" s="27">
        <f>6-J261-K261</f>
        <v/>
      </c>
    </row>
    <row r="262" ht="16.5" customHeight="1" s="28">
      <c r="A262" s="31" t="n">
        <v>261</v>
      </c>
      <c r="B262" s="27" t="n">
        <v>6</v>
      </c>
      <c r="C262" s="27" t="n">
        <v>11</v>
      </c>
      <c r="D262" s="27" t="n">
        <v>16</v>
      </c>
      <c r="E262" s="27" t="n">
        <v>18</v>
      </c>
      <c r="F262" s="27" t="n">
        <v>31</v>
      </c>
      <c r="G262" s="27" t="n">
        <v>43</v>
      </c>
      <c r="H262" s="27" t="n">
        <v>2</v>
      </c>
      <c r="J262" s="27">
        <f>SUMPRODUCT(COUNTIFS(확률!$J$2:$J$46, 원본!B262:G262, 확률!$M$2:$M$46, "&lt;=20"))</f>
        <v/>
      </c>
      <c r="K262" s="27">
        <f>SUMPRODUCT(COUNTIFS(확률!$J$2:$J$46, 원본!B262:G262, 확률!$M$2:$M$46, "&gt;=36"))</f>
        <v/>
      </c>
      <c r="L262" s="27">
        <f>6-J262-K262</f>
        <v/>
      </c>
    </row>
    <row r="263" ht="16.5" customHeight="1" s="28">
      <c r="A263" s="31" t="n">
        <v>262</v>
      </c>
      <c r="B263" s="27" t="n">
        <v>9</v>
      </c>
      <c r="C263" s="27" t="n">
        <v>12</v>
      </c>
      <c r="D263" s="27" t="n">
        <v>24</v>
      </c>
      <c r="E263" s="27" t="n">
        <v>25</v>
      </c>
      <c r="F263" s="27" t="n">
        <v>29</v>
      </c>
      <c r="G263" s="27" t="n">
        <v>31</v>
      </c>
      <c r="H263" s="27" t="n">
        <v>36</v>
      </c>
      <c r="J263" s="27">
        <f>SUMPRODUCT(COUNTIFS(확률!$J$2:$J$46, 원본!B263:G263, 확률!$M$2:$M$46, "&lt;=20"))</f>
        <v/>
      </c>
      <c r="K263" s="27">
        <f>SUMPRODUCT(COUNTIFS(확률!$J$2:$J$46, 원본!B263:G263, 확률!$M$2:$M$46, "&gt;=36"))</f>
        <v/>
      </c>
      <c r="L263" s="27">
        <f>6-J263-K263</f>
        <v/>
      </c>
    </row>
    <row r="264" ht="16.5" customHeight="1" s="28">
      <c r="A264" s="31" t="n">
        <v>263</v>
      </c>
      <c r="B264" s="27" t="n">
        <v>1</v>
      </c>
      <c r="C264" s="27" t="n">
        <v>27</v>
      </c>
      <c r="D264" s="27" t="n">
        <v>28</v>
      </c>
      <c r="E264" s="27" t="n">
        <v>32</v>
      </c>
      <c r="F264" s="27" t="n">
        <v>37</v>
      </c>
      <c r="G264" s="27" t="n">
        <v>40</v>
      </c>
      <c r="H264" s="27" t="n">
        <v>18</v>
      </c>
      <c r="J264" s="27">
        <f>SUMPRODUCT(COUNTIFS(확률!$J$2:$J$46, 원본!B264:G264, 확률!$M$2:$M$46, "&lt;=20"))</f>
        <v/>
      </c>
      <c r="K264" s="27">
        <f>SUMPRODUCT(COUNTIFS(확률!$J$2:$J$46, 원본!B264:G264, 확률!$M$2:$M$46, "&gt;=36"))</f>
        <v/>
      </c>
      <c r="L264" s="27">
        <f>6-J264-K264</f>
        <v/>
      </c>
    </row>
    <row r="265" ht="16.5" customHeight="1" s="28">
      <c r="A265" s="31" t="n">
        <v>264</v>
      </c>
      <c r="B265" s="27" t="n">
        <v>9</v>
      </c>
      <c r="C265" s="27" t="n">
        <v>16</v>
      </c>
      <c r="D265" s="27" t="n">
        <v>27</v>
      </c>
      <c r="E265" s="27" t="n">
        <v>36</v>
      </c>
      <c r="F265" s="27" t="n">
        <v>41</v>
      </c>
      <c r="G265" s="27" t="n">
        <v>44</v>
      </c>
      <c r="H265" s="27" t="n">
        <v>5</v>
      </c>
      <c r="J265" s="27">
        <f>SUMPRODUCT(COUNTIFS(확률!$J$2:$J$46, 원본!B265:G265, 확률!$M$2:$M$46, "&lt;=20"))</f>
        <v/>
      </c>
      <c r="K265" s="27">
        <f>SUMPRODUCT(COUNTIFS(확률!$J$2:$J$46, 원본!B265:G265, 확률!$M$2:$M$46, "&gt;=36"))</f>
        <v/>
      </c>
      <c r="L265" s="27">
        <f>6-J265-K265</f>
        <v/>
      </c>
    </row>
    <row r="266" ht="16.5" customHeight="1" s="28">
      <c r="A266" s="31" t="n">
        <v>265</v>
      </c>
      <c r="B266" s="27" t="n">
        <v>5</v>
      </c>
      <c r="C266" s="27" t="n">
        <v>9</v>
      </c>
      <c r="D266" s="27" t="n">
        <v>34</v>
      </c>
      <c r="E266" s="27" t="n">
        <v>37</v>
      </c>
      <c r="F266" s="27" t="n">
        <v>38</v>
      </c>
      <c r="G266" s="27" t="n">
        <v>39</v>
      </c>
      <c r="H266" s="27" t="n">
        <v>12</v>
      </c>
      <c r="J266" s="27">
        <f>SUMPRODUCT(COUNTIFS(확률!$J$2:$J$46, 원본!B266:G266, 확률!$M$2:$M$46, "&lt;=20"))</f>
        <v/>
      </c>
      <c r="K266" s="27">
        <f>SUMPRODUCT(COUNTIFS(확률!$J$2:$J$46, 원본!B266:G266, 확률!$M$2:$M$46, "&gt;=36"))</f>
        <v/>
      </c>
      <c r="L266" s="27">
        <f>6-J266-K266</f>
        <v/>
      </c>
    </row>
    <row r="267" ht="16.5" customHeight="1" s="28">
      <c r="A267" s="31" t="n">
        <v>266</v>
      </c>
      <c r="B267" s="27" t="n">
        <v>3</v>
      </c>
      <c r="C267" s="27" t="n">
        <v>4</v>
      </c>
      <c r="D267" s="27" t="n">
        <v>9</v>
      </c>
      <c r="E267" s="27" t="n">
        <v>11</v>
      </c>
      <c r="F267" s="27" t="n">
        <v>22</v>
      </c>
      <c r="G267" s="27" t="n">
        <v>42</v>
      </c>
      <c r="H267" s="27" t="n">
        <v>37</v>
      </c>
      <c r="J267" s="27">
        <f>SUMPRODUCT(COUNTIFS(확률!$J$2:$J$46, 원본!B267:G267, 확률!$M$2:$M$46, "&lt;=20"))</f>
        <v/>
      </c>
      <c r="K267" s="27">
        <f>SUMPRODUCT(COUNTIFS(확률!$J$2:$J$46, 원본!B267:G267, 확률!$M$2:$M$46, "&gt;=36"))</f>
        <v/>
      </c>
      <c r="L267" s="27">
        <f>6-J267-K267</f>
        <v/>
      </c>
    </row>
    <row r="268" ht="16.5" customHeight="1" s="28">
      <c r="A268" s="31" t="n">
        <v>267</v>
      </c>
      <c r="B268" s="27" t="n">
        <v>7</v>
      </c>
      <c r="C268" s="27" t="n">
        <v>8</v>
      </c>
      <c r="D268" s="27" t="n">
        <v>24</v>
      </c>
      <c r="E268" s="27" t="n">
        <v>34</v>
      </c>
      <c r="F268" s="27" t="n">
        <v>36</v>
      </c>
      <c r="G268" s="27" t="n">
        <v>41</v>
      </c>
      <c r="H268" s="27" t="n">
        <v>1</v>
      </c>
      <c r="J268" s="27">
        <f>SUMPRODUCT(COUNTIFS(확률!$J$2:$J$46, 원본!B268:G268, 확률!$M$2:$M$46, "&lt;=20"))</f>
        <v/>
      </c>
      <c r="K268" s="27">
        <f>SUMPRODUCT(COUNTIFS(확률!$J$2:$J$46, 원본!B268:G268, 확률!$M$2:$M$46, "&gt;=36"))</f>
        <v/>
      </c>
      <c r="L268" s="27">
        <f>6-J268-K268</f>
        <v/>
      </c>
    </row>
    <row r="269" ht="16.5" customHeight="1" s="28">
      <c r="A269" s="31" t="n">
        <v>268</v>
      </c>
      <c r="B269" s="27" t="n">
        <v>3</v>
      </c>
      <c r="C269" s="27" t="n">
        <v>10</v>
      </c>
      <c r="D269" s="27" t="n">
        <v>19</v>
      </c>
      <c r="E269" s="27" t="n">
        <v>24</v>
      </c>
      <c r="F269" s="27" t="n">
        <v>32</v>
      </c>
      <c r="G269" s="27" t="n">
        <v>45</v>
      </c>
      <c r="H269" s="27" t="n">
        <v>12</v>
      </c>
      <c r="J269" s="27">
        <f>SUMPRODUCT(COUNTIFS(확률!$J$2:$J$46, 원본!B269:G269, 확률!$M$2:$M$46, "&lt;=20"))</f>
        <v/>
      </c>
      <c r="K269" s="27">
        <f>SUMPRODUCT(COUNTIFS(확률!$J$2:$J$46, 원본!B269:G269, 확률!$M$2:$M$46, "&gt;=36"))</f>
        <v/>
      </c>
      <c r="L269" s="27">
        <f>6-J269-K269</f>
        <v/>
      </c>
    </row>
    <row r="270" ht="16.5" customHeight="1" s="28">
      <c r="A270" s="31" t="n">
        <v>269</v>
      </c>
      <c r="B270" s="27" t="n">
        <v>5</v>
      </c>
      <c r="C270" s="27" t="n">
        <v>18</v>
      </c>
      <c r="D270" s="27" t="n">
        <v>20</v>
      </c>
      <c r="E270" s="27" t="n">
        <v>36</v>
      </c>
      <c r="F270" s="27" t="n">
        <v>42</v>
      </c>
      <c r="G270" s="27" t="n">
        <v>43</v>
      </c>
      <c r="H270" s="27" t="n">
        <v>32</v>
      </c>
      <c r="J270" s="27">
        <f>SUMPRODUCT(COUNTIFS(확률!$J$2:$J$46, 원본!B270:G270, 확률!$M$2:$M$46, "&lt;=20"))</f>
        <v/>
      </c>
      <c r="K270" s="27">
        <f>SUMPRODUCT(COUNTIFS(확률!$J$2:$J$46, 원본!B270:G270, 확률!$M$2:$M$46, "&gt;=36"))</f>
        <v/>
      </c>
      <c r="L270" s="27">
        <f>6-J270-K270</f>
        <v/>
      </c>
    </row>
    <row r="271" ht="16.5" customHeight="1" s="28">
      <c r="A271" s="31" t="n">
        <v>270</v>
      </c>
      <c r="B271" s="27" t="n">
        <v>5</v>
      </c>
      <c r="C271" s="27" t="n">
        <v>9</v>
      </c>
      <c r="D271" s="27" t="n">
        <v>12</v>
      </c>
      <c r="E271" s="27" t="n">
        <v>20</v>
      </c>
      <c r="F271" s="27" t="n">
        <v>21</v>
      </c>
      <c r="G271" s="27" t="n">
        <v>26</v>
      </c>
      <c r="H271" s="27" t="n">
        <v>27</v>
      </c>
      <c r="J271" s="27">
        <f>SUMPRODUCT(COUNTIFS(확률!$J$2:$J$46, 원본!B271:G271, 확률!$M$2:$M$46, "&lt;=20"))</f>
        <v/>
      </c>
      <c r="K271" s="27">
        <f>SUMPRODUCT(COUNTIFS(확률!$J$2:$J$46, 원본!B271:G271, 확률!$M$2:$M$46, "&gt;=36"))</f>
        <v/>
      </c>
      <c r="L271" s="27">
        <f>6-J271-K271</f>
        <v/>
      </c>
    </row>
    <row r="272" ht="16.5" customHeight="1" s="28">
      <c r="A272" s="31" t="n">
        <v>271</v>
      </c>
      <c r="B272" s="27" t="n">
        <v>3</v>
      </c>
      <c r="C272" s="27" t="n">
        <v>8</v>
      </c>
      <c r="D272" s="27" t="n">
        <v>9</v>
      </c>
      <c r="E272" s="27" t="n">
        <v>27</v>
      </c>
      <c r="F272" s="27" t="n">
        <v>29</v>
      </c>
      <c r="G272" s="27" t="n">
        <v>40</v>
      </c>
      <c r="H272" s="27" t="n">
        <v>36</v>
      </c>
      <c r="J272" s="27">
        <f>SUMPRODUCT(COUNTIFS(확률!$J$2:$J$46, 원본!B272:G272, 확률!$M$2:$M$46, "&lt;=20"))</f>
        <v/>
      </c>
      <c r="K272" s="27">
        <f>SUMPRODUCT(COUNTIFS(확률!$J$2:$J$46, 원본!B272:G272, 확률!$M$2:$M$46, "&gt;=36"))</f>
        <v/>
      </c>
      <c r="L272" s="27">
        <f>6-J272-K272</f>
        <v/>
      </c>
    </row>
    <row r="273" ht="16.5" customHeight="1" s="28">
      <c r="A273" s="31" t="n">
        <v>272</v>
      </c>
      <c r="B273" s="27" t="n">
        <v>7</v>
      </c>
      <c r="C273" s="27" t="n">
        <v>9</v>
      </c>
      <c r="D273" s="27" t="n">
        <v>12</v>
      </c>
      <c r="E273" s="27" t="n">
        <v>27</v>
      </c>
      <c r="F273" s="27" t="n">
        <v>39</v>
      </c>
      <c r="G273" s="27" t="n">
        <v>43</v>
      </c>
      <c r="H273" s="27" t="n">
        <v>28</v>
      </c>
      <c r="J273" s="27">
        <f>SUMPRODUCT(COUNTIFS(확률!$J$2:$J$46, 원본!B273:G273, 확률!$M$2:$M$46, "&lt;=20"))</f>
        <v/>
      </c>
      <c r="K273" s="27">
        <f>SUMPRODUCT(COUNTIFS(확률!$J$2:$J$46, 원본!B273:G273, 확률!$M$2:$M$46, "&gt;=36"))</f>
        <v/>
      </c>
      <c r="L273" s="27">
        <f>6-J273-K273</f>
        <v/>
      </c>
    </row>
    <row r="274" ht="16.5" customHeight="1" s="28">
      <c r="A274" s="31" t="n">
        <v>273</v>
      </c>
      <c r="B274" s="27" t="n">
        <v>1</v>
      </c>
      <c r="C274" s="27" t="n">
        <v>8</v>
      </c>
      <c r="D274" s="27" t="n">
        <v>24</v>
      </c>
      <c r="E274" s="27" t="n">
        <v>31</v>
      </c>
      <c r="F274" s="27" t="n">
        <v>34</v>
      </c>
      <c r="G274" s="27" t="n">
        <v>44</v>
      </c>
      <c r="H274" s="27" t="n">
        <v>6</v>
      </c>
      <c r="J274" s="27">
        <f>SUMPRODUCT(COUNTIFS(확률!$J$2:$J$46, 원본!B274:G274, 확률!$M$2:$M$46, "&lt;=20"))</f>
        <v/>
      </c>
      <c r="K274" s="27">
        <f>SUMPRODUCT(COUNTIFS(확률!$J$2:$J$46, 원본!B274:G274, 확률!$M$2:$M$46, "&gt;=36"))</f>
        <v/>
      </c>
      <c r="L274" s="27">
        <f>6-J274-K274</f>
        <v/>
      </c>
    </row>
    <row r="275" ht="16.5" customHeight="1" s="28">
      <c r="A275" s="31" t="n">
        <v>274</v>
      </c>
      <c r="B275" s="27" t="n">
        <v>13</v>
      </c>
      <c r="C275" s="27" t="n">
        <v>14</v>
      </c>
      <c r="D275" s="27" t="n">
        <v>15</v>
      </c>
      <c r="E275" s="27" t="n">
        <v>26</v>
      </c>
      <c r="F275" s="27" t="n">
        <v>35</v>
      </c>
      <c r="G275" s="27" t="n">
        <v>39</v>
      </c>
      <c r="H275" s="27" t="n">
        <v>25</v>
      </c>
      <c r="J275" s="27">
        <f>SUMPRODUCT(COUNTIFS(확률!$J$2:$J$46, 원본!B275:G275, 확률!$M$2:$M$46, "&lt;=20"))</f>
        <v/>
      </c>
      <c r="K275" s="27">
        <f>SUMPRODUCT(COUNTIFS(확률!$J$2:$J$46, 원본!B275:G275, 확률!$M$2:$M$46, "&gt;=36"))</f>
        <v/>
      </c>
      <c r="L275" s="27">
        <f>6-J275-K275</f>
        <v/>
      </c>
    </row>
    <row r="276" ht="16.5" customHeight="1" s="28">
      <c r="A276" s="31" t="n">
        <v>275</v>
      </c>
      <c r="B276" s="27" t="n">
        <v>14</v>
      </c>
      <c r="C276" s="27" t="n">
        <v>19</v>
      </c>
      <c r="D276" s="27" t="n">
        <v>20</v>
      </c>
      <c r="E276" s="27" t="n">
        <v>35</v>
      </c>
      <c r="F276" s="27" t="n">
        <v>38</v>
      </c>
      <c r="G276" s="27" t="n">
        <v>40</v>
      </c>
      <c r="H276" s="27" t="n">
        <v>26</v>
      </c>
      <c r="J276" s="27">
        <f>SUMPRODUCT(COUNTIFS(확률!$J$2:$J$46, 원본!B276:G276, 확률!$M$2:$M$46, "&lt;=20"))</f>
        <v/>
      </c>
      <c r="K276" s="27">
        <f>SUMPRODUCT(COUNTIFS(확률!$J$2:$J$46, 원본!B276:G276, 확률!$M$2:$M$46, "&gt;=36"))</f>
        <v/>
      </c>
      <c r="L276" s="27">
        <f>6-J276-K276</f>
        <v/>
      </c>
    </row>
    <row r="277" ht="16.5" customHeight="1" s="28">
      <c r="A277" s="31" t="n">
        <v>276</v>
      </c>
      <c r="B277" s="27" t="n">
        <v>4</v>
      </c>
      <c r="C277" s="27" t="n">
        <v>15</v>
      </c>
      <c r="D277" s="27" t="n">
        <v>21</v>
      </c>
      <c r="E277" s="27" t="n">
        <v>33</v>
      </c>
      <c r="F277" s="27" t="n">
        <v>39</v>
      </c>
      <c r="G277" s="27" t="n">
        <v>41</v>
      </c>
      <c r="H277" s="27" t="n">
        <v>25</v>
      </c>
      <c r="J277" s="27">
        <f>SUMPRODUCT(COUNTIFS(확률!$J$2:$J$46, 원본!B277:G277, 확률!$M$2:$M$46, "&lt;=20"))</f>
        <v/>
      </c>
      <c r="K277" s="27">
        <f>SUMPRODUCT(COUNTIFS(확률!$J$2:$J$46, 원본!B277:G277, 확률!$M$2:$M$46, "&gt;=36"))</f>
        <v/>
      </c>
      <c r="L277" s="27">
        <f>6-J277-K277</f>
        <v/>
      </c>
    </row>
    <row r="278" ht="16.5" customHeight="1" s="28">
      <c r="A278" s="31" t="n">
        <v>277</v>
      </c>
      <c r="B278" s="27" t="n">
        <v>10</v>
      </c>
      <c r="C278" s="27" t="n">
        <v>12</v>
      </c>
      <c r="D278" s="27" t="n">
        <v>13</v>
      </c>
      <c r="E278" s="27" t="n">
        <v>15</v>
      </c>
      <c r="F278" s="27" t="n">
        <v>25</v>
      </c>
      <c r="G278" s="27" t="n">
        <v>29</v>
      </c>
      <c r="H278" s="27" t="n">
        <v>20</v>
      </c>
      <c r="J278" s="27">
        <f>SUMPRODUCT(COUNTIFS(확률!$J$2:$J$46, 원본!B278:G278, 확률!$M$2:$M$46, "&lt;=20"))</f>
        <v/>
      </c>
      <c r="K278" s="27">
        <f>SUMPRODUCT(COUNTIFS(확률!$J$2:$J$46, 원본!B278:G278, 확률!$M$2:$M$46, "&gt;=36"))</f>
        <v/>
      </c>
      <c r="L278" s="27">
        <f>6-J278-K278</f>
        <v/>
      </c>
    </row>
    <row r="279" ht="16.5" customHeight="1" s="28">
      <c r="A279" s="31" t="n">
        <v>278</v>
      </c>
      <c r="B279" s="27" t="n">
        <v>3</v>
      </c>
      <c r="C279" s="27" t="n">
        <v>11</v>
      </c>
      <c r="D279" s="27" t="n">
        <v>37</v>
      </c>
      <c r="E279" s="27" t="n">
        <v>39</v>
      </c>
      <c r="F279" s="27" t="n">
        <v>41</v>
      </c>
      <c r="G279" s="27" t="n">
        <v>43</v>
      </c>
      <c r="H279" s="27" t="n">
        <v>13</v>
      </c>
      <c r="J279" s="27">
        <f>SUMPRODUCT(COUNTIFS(확률!$J$2:$J$46, 원본!B279:G279, 확률!$M$2:$M$46, "&lt;=20"))</f>
        <v/>
      </c>
      <c r="K279" s="27">
        <f>SUMPRODUCT(COUNTIFS(확률!$J$2:$J$46, 원본!B279:G279, 확률!$M$2:$M$46, "&gt;=36"))</f>
        <v/>
      </c>
      <c r="L279" s="27">
        <f>6-J279-K279</f>
        <v/>
      </c>
    </row>
    <row r="280" ht="16.5" customHeight="1" s="28">
      <c r="A280" s="31" t="n">
        <v>279</v>
      </c>
      <c r="B280" s="27" t="n">
        <v>7</v>
      </c>
      <c r="C280" s="27" t="n">
        <v>16</v>
      </c>
      <c r="D280" s="27" t="n">
        <v>31</v>
      </c>
      <c r="E280" s="27" t="n">
        <v>36</v>
      </c>
      <c r="F280" s="27" t="n">
        <v>37</v>
      </c>
      <c r="G280" s="27" t="n">
        <v>38</v>
      </c>
      <c r="H280" s="27" t="n">
        <v>11</v>
      </c>
      <c r="J280" s="27">
        <f>SUMPRODUCT(COUNTIFS(확률!$J$2:$J$46, 원본!B280:G280, 확률!$M$2:$M$46, "&lt;=20"))</f>
        <v/>
      </c>
      <c r="K280" s="27">
        <f>SUMPRODUCT(COUNTIFS(확률!$J$2:$J$46, 원본!B280:G280, 확률!$M$2:$M$46, "&gt;=36"))</f>
        <v/>
      </c>
      <c r="L280" s="27">
        <f>6-J280-K280</f>
        <v/>
      </c>
    </row>
    <row r="281" ht="16.5" customHeight="1" s="28">
      <c r="A281" s="31" t="n">
        <v>280</v>
      </c>
      <c r="B281" s="27" t="n">
        <v>10</v>
      </c>
      <c r="C281" s="27" t="n">
        <v>11</v>
      </c>
      <c r="D281" s="27" t="n">
        <v>23</v>
      </c>
      <c r="E281" s="27" t="n">
        <v>24</v>
      </c>
      <c r="F281" s="27" t="n">
        <v>36</v>
      </c>
      <c r="G281" s="27" t="n">
        <v>37</v>
      </c>
      <c r="H281" s="27" t="n">
        <v>35</v>
      </c>
      <c r="J281" s="27">
        <f>SUMPRODUCT(COUNTIFS(확률!$J$2:$J$46, 원본!B281:G281, 확률!$M$2:$M$46, "&lt;=20"))</f>
        <v/>
      </c>
      <c r="K281" s="27">
        <f>SUMPRODUCT(COUNTIFS(확률!$J$2:$J$46, 원본!B281:G281, 확률!$M$2:$M$46, "&gt;=36"))</f>
        <v/>
      </c>
      <c r="L281" s="27">
        <f>6-J281-K281</f>
        <v/>
      </c>
    </row>
    <row r="282" ht="16.5" customHeight="1" s="28">
      <c r="A282" s="31" t="n">
        <v>281</v>
      </c>
      <c r="B282" s="27" t="n">
        <v>1</v>
      </c>
      <c r="C282" s="27" t="n">
        <v>3</v>
      </c>
      <c r="D282" s="27" t="n">
        <v>4</v>
      </c>
      <c r="E282" s="27" t="n">
        <v>6</v>
      </c>
      <c r="F282" s="27" t="n">
        <v>14</v>
      </c>
      <c r="G282" s="27" t="n">
        <v>41</v>
      </c>
      <c r="H282" s="27" t="n">
        <v>12</v>
      </c>
      <c r="J282" s="27">
        <f>SUMPRODUCT(COUNTIFS(확률!$J$2:$J$46, 원본!B282:G282, 확률!$M$2:$M$46, "&lt;=20"))</f>
        <v/>
      </c>
      <c r="K282" s="27">
        <f>SUMPRODUCT(COUNTIFS(확률!$J$2:$J$46, 원본!B282:G282, 확률!$M$2:$M$46, "&gt;=36"))</f>
        <v/>
      </c>
      <c r="L282" s="27">
        <f>6-J282-K282</f>
        <v/>
      </c>
    </row>
    <row r="283" ht="16.5" customHeight="1" s="28">
      <c r="A283" s="31" t="n">
        <v>282</v>
      </c>
      <c r="B283" s="27" t="n">
        <v>2</v>
      </c>
      <c r="C283" s="27" t="n">
        <v>5</v>
      </c>
      <c r="D283" s="27" t="n">
        <v>10</v>
      </c>
      <c r="E283" s="27" t="n">
        <v>18</v>
      </c>
      <c r="F283" s="27" t="n">
        <v>31</v>
      </c>
      <c r="G283" s="27" t="n">
        <v>32</v>
      </c>
      <c r="H283" s="27" t="n">
        <v>30</v>
      </c>
      <c r="J283" s="27">
        <f>SUMPRODUCT(COUNTIFS(확률!$J$2:$J$46, 원본!B283:G283, 확률!$M$2:$M$46, "&lt;=20"))</f>
        <v/>
      </c>
      <c r="K283" s="27">
        <f>SUMPRODUCT(COUNTIFS(확률!$J$2:$J$46, 원본!B283:G283, 확률!$M$2:$M$46, "&gt;=36"))</f>
        <v/>
      </c>
      <c r="L283" s="27">
        <f>6-J283-K283</f>
        <v/>
      </c>
    </row>
    <row r="284" ht="16.5" customHeight="1" s="28">
      <c r="A284" s="31" t="n">
        <v>283</v>
      </c>
      <c r="B284" s="27" t="n">
        <v>6</v>
      </c>
      <c r="C284" s="27" t="n">
        <v>8</v>
      </c>
      <c r="D284" s="27" t="n">
        <v>18</v>
      </c>
      <c r="E284" s="27" t="n">
        <v>31</v>
      </c>
      <c r="F284" s="27" t="n">
        <v>38</v>
      </c>
      <c r="G284" s="27" t="n">
        <v>45</v>
      </c>
      <c r="H284" s="27" t="n">
        <v>42</v>
      </c>
      <c r="J284" s="27">
        <f>SUMPRODUCT(COUNTIFS(확률!$J$2:$J$46, 원본!B284:G284, 확률!$M$2:$M$46, "&lt;=20"))</f>
        <v/>
      </c>
      <c r="K284" s="27">
        <f>SUMPRODUCT(COUNTIFS(확률!$J$2:$J$46, 원본!B284:G284, 확률!$M$2:$M$46, "&gt;=36"))</f>
        <v/>
      </c>
      <c r="L284" s="27">
        <f>6-J284-K284</f>
        <v/>
      </c>
    </row>
    <row r="285" ht="16.5" customHeight="1" s="28">
      <c r="A285" s="31" t="n">
        <v>284</v>
      </c>
      <c r="B285" s="27" t="n">
        <v>2</v>
      </c>
      <c r="C285" s="27" t="n">
        <v>7</v>
      </c>
      <c r="D285" s="27" t="n">
        <v>15</v>
      </c>
      <c r="E285" s="27" t="n">
        <v>24</v>
      </c>
      <c r="F285" s="27" t="n">
        <v>30</v>
      </c>
      <c r="G285" s="27" t="n">
        <v>45</v>
      </c>
      <c r="H285" s="27" t="n">
        <v>28</v>
      </c>
      <c r="J285" s="27">
        <f>SUMPRODUCT(COUNTIFS(확률!$J$2:$J$46, 원본!B285:G285, 확률!$M$2:$M$46, "&lt;=20"))</f>
        <v/>
      </c>
      <c r="K285" s="27">
        <f>SUMPRODUCT(COUNTIFS(확률!$J$2:$J$46, 원본!B285:G285, 확률!$M$2:$M$46, "&gt;=36"))</f>
        <v/>
      </c>
      <c r="L285" s="27">
        <f>6-J285-K285</f>
        <v/>
      </c>
    </row>
    <row r="286" ht="16.5" customHeight="1" s="28">
      <c r="A286" s="31" t="n">
        <v>285</v>
      </c>
      <c r="B286" s="27" t="n">
        <v>13</v>
      </c>
      <c r="C286" s="27" t="n">
        <v>33</v>
      </c>
      <c r="D286" s="27" t="n">
        <v>37</v>
      </c>
      <c r="E286" s="27" t="n">
        <v>40</v>
      </c>
      <c r="F286" s="27" t="n">
        <v>41</v>
      </c>
      <c r="G286" s="27" t="n">
        <v>45</v>
      </c>
      <c r="H286" s="27" t="n">
        <v>2</v>
      </c>
      <c r="J286" s="27">
        <f>SUMPRODUCT(COUNTIFS(확률!$J$2:$J$46, 원본!B286:G286, 확률!$M$2:$M$46, "&lt;=20"))</f>
        <v/>
      </c>
      <c r="K286" s="27">
        <f>SUMPRODUCT(COUNTIFS(확률!$J$2:$J$46, 원본!B286:G286, 확률!$M$2:$M$46, "&gt;=36"))</f>
        <v/>
      </c>
      <c r="L286" s="27">
        <f>6-J286-K286</f>
        <v/>
      </c>
    </row>
    <row r="287" ht="16.5" customHeight="1" s="28">
      <c r="A287" s="31" t="n">
        <v>286</v>
      </c>
      <c r="B287" s="27" t="n">
        <v>1</v>
      </c>
      <c r="C287" s="27" t="n">
        <v>15</v>
      </c>
      <c r="D287" s="27" t="n">
        <v>19</v>
      </c>
      <c r="E287" s="27" t="n">
        <v>40</v>
      </c>
      <c r="F287" s="27" t="n">
        <v>42</v>
      </c>
      <c r="G287" s="27" t="n">
        <v>44</v>
      </c>
      <c r="H287" s="27" t="n">
        <v>17</v>
      </c>
      <c r="J287" s="27">
        <f>SUMPRODUCT(COUNTIFS(확률!$J$2:$J$46, 원본!B287:G287, 확률!$M$2:$M$46, "&lt;=20"))</f>
        <v/>
      </c>
      <c r="K287" s="27">
        <f>SUMPRODUCT(COUNTIFS(확률!$J$2:$J$46, 원본!B287:G287, 확률!$M$2:$M$46, "&gt;=36"))</f>
        <v/>
      </c>
      <c r="L287" s="27">
        <f>6-J287-K287</f>
        <v/>
      </c>
    </row>
    <row r="288" ht="16.5" customHeight="1" s="28">
      <c r="A288" s="31" t="n">
        <v>287</v>
      </c>
      <c r="B288" s="27" t="n">
        <v>6</v>
      </c>
      <c r="C288" s="27" t="n">
        <v>12</v>
      </c>
      <c r="D288" s="27" t="n">
        <v>24</v>
      </c>
      <c r="E288" s="27" t="n">
        <v>27</v>
      </c>
      <c r="F288" s="27" t="n">
        <v>35</v>
      </c>
      <c r="G288" s="27" t="n">
        <v>37</v>
      </c>
      <c r="H288" s="27" t="n">
        <v>41</v>
      </c>
      <c r="J288" s="27">
        <f>SUMPRODUCT(COUNTIFS(확률!$J$2:$J$46, 원본!B288:G288, 확률!$M$2:$M$46, "&lt;=20"))</f>
        <v/>
      </c>
      <c r="K288" s="27">
        <f>SUMPRODUCT(COUNTIFS(확률!$J$2:$J$46, 원본!B288:G288, 확률!$M$2:$M$46, "&gt;=36"))</f>
        <v/>
      </c>
      <c r="L288" s="27">
        <f>6-J288-K288</f>
        <v/>
      </c>
    </row>
    <row r="289" ht="16.5" customHeight="1" s="28">
      <c r="A289" s="31" t="n">
        <v>288</v>
      </c>
      <c r="B289" s="27" t="n">
        <v>1</v>
      </c>
      <c r="C289" s="27" t="n">
        <v>12</v>
      </c>
      <c r="D289" s="27" t="n">
        <v>17</v>
      </c>
      <c r="E289" s="27" t="n">
        <v>28</v>
      </c>
      <c r="F289" s="27" t="n">
        <v>35</v>
      </c>
      <c r="G289" s="27" t="n">
        <v>41</v>
      </c>
      <c r="H289" s="27" t="n">
        <v>10</v>
      </c>
      <c r="J289" s="27">
        <f>SUMPRODUCT(COUNTIFS(확률!$J$2:$J$46, 원본!B289:G289, 확률!$M$2:$M$46, "&lt;=20"))</f>
        <v/>
      </c>
      <c r="K289" s="27">
        <f>SUMPRODUCT(COUNTIFS(확률!$J$2:$J$46, 원본!B289:G289, 확률!$M$2:$M$46, "&gt;=36"))</f>
        <v/>
      </c>
      <c r="L289" s="27">
        <f>6-J289-K289</f>
        <v/>
      </c>
    </row>
    <row r="290" ht="16.5" customHeight="1" s="28">
      <c r="A290" s="31" t="n">
        <v>289</v>
      </c>
      <c r="B290" s="27" t="n">
        <v>3</v>
      </c>
      <c r="C290" s="27" t="n">
        <v>14</v>
      </c>
      <c r="D290" s="27" t="n">
        <v>33</v>
      </c>
      <c r="E290" s="27" t="n">
        <v>37</v>
      </c>
      <c r="F290" s="27" t="n">
        <v>38</v>
      </c>
      <c r="G290" s="27" t="n">
        <v>42</v>
      </c>
      <c r="H290" s="27" t="n">
        <v>10</v>
      </c>
      <c r="J290" s="27">
        <f>SUMPRODUCT(COUNTIFS(확률!$J$2:$J$46, 원본!B290:G290, 확률!$M$2:$M$46, "&lt;=20"))</f>
        <v/>
      </c>
      <c r="K290" s="27">
        <f>SUMPRODUCT(COUNTIFS(확률!$J$2:$J$46, 원본!B290:G290, 확률!$M$2:$M$46, "&gt;=36"))</f>
        <v/>
      </c>
      <c r="L290" s="27">
        <f>6-J290-K290</f>
        <v/>
      </c>
    </row>
    <row r="291" ht="16.5" customHeight="1" s="28">
      <c r="A291" s="31" t="n">
        <v>290</v>
      </c>
      <c r="B291" s="27" t="n">
        <v>8</v>
      </c>
      <c r="C291" s="27" t="n">
        <v>13</v>
      </c>
      <c r="D291" s="27" t="n">
        <v>18</v>
      </c>
      <c r="E291" s="27" t="n">
        <v>32</v>
      </c>
      <c r="F291" s="27" t="n">
        <v>39</v>
      </c>
      <c r="G291" s="27" t="n">
        <v>45</v>
      </c>
      <c r="H291" s="27" t="n">
        <v>7</v>
      </c>
      <c r="J291" s="27">
        <f>SUMPRODUCT(COUNTIFS(확률!$J$2:$J$46, 원본!B291:G291, 확률!$M$2:$M$46, "&lt;=20"))</f>
        <v/>
      </c>
      <c r="K291" s="27">
        <f>SUMPRODUCT(COUNTIFS(확률!$J$2:$J$46, 원본!B291:G291, 확률!$M$2:$M$46, "&gt;=36"))</f>
        <v/>
      </c>
      <c r="L291" s="27">
        <f>6-J291-K291</f>
        <v/>
      </c>
    </row>
    <row r="292" ht="16.5" customHeight="1" s="28">
      <c r="A292" s="31" t="n">
        <v>291</v>
      </c>
      <c r="B292" s="27" t="n">
        <v>3</v>
      </c>
      <c r="C292" s="27" t="n">
        <v>7</v>
      </c>
      <c r="D292" s="27" t="n">
        <v>8</v>
      </c>
      <c r="E292" s="27" t="n">
        <v>18</v>
      </c>
      <c r="F292" s="27" t="n">
        <v>20</v>
      </c>
      <c r="G292" s="27" t="n">
        <v>42</v>
      </c>
      <c r="H292" s="27" t="n">
        <v>45</v>
      </c>
      <c r="J292" s="27">
        <f>SUMPRODUCT(COUNTIFS(확률!$J$2:$J$46, 원본!B292:G292, 확률!$M$2:$M$46, "&lt;=20"))</f>
        <v/>
      </c>
      <c r="K292" s="27">
        <f>SUMPRODUCT(COUNTIFS(확률!$J$2:$J$46, 원본!B292:G292, 확률!$M$2:$M$46, "&gt;=36"))</f>
        <v/>
      </c>
      <c r="L292" s="27">
        <f>6-J292-K292</f>
        <v/>
      </c>
    </row>
    <row r="293" ht="16.5" customHeight="1" s="28">
      <c r="A293" s="31" t="n">
        <v>292</v>
      </c>
      <c r="B293" s="27" t="n">
        <v>17</v>
      </c>
      <c r="C293" s="27" t="n">
        <v>18</v>
      </c>
      <c r="D293" s="27" t="n">
        <v>31</v>
      </c>
      <c r="E293" s="27" t="n">
        <v>32</v>
      </c>
      <c r="F293" s="27" t="n">
        <v>33</v>
      </c>
      <c r="G293" s="27" t="n">
        <v>34</v>
      </c>
      <c r="H293" s="27" t="n">
        <v>10</v>
      </c>
      <c r="J293" s="27">
        <f>SUMPRODUCT(COUNTIFS(확률!$J$2:$J$46, 원본!B293:G293, 확률!$M$2:$M$46, "&lt;=20"))</f>
        <v/>
      </c>
      <c r="K293" s="27">
        <f>SUMPRODUCT(COUNTIFS(확률!$J$2:$J$46, 원본!B293:G293, 확률!$M$2:$M$46, "&gt;=36"))</f>
        <v/>
      </c>
      <c r="L293" s="27">
        <f>6-J293-K293</f>
        <v/>
      </c>
    </row>
    <row r="294" ht="16.5" customHeight="1" s="28">
      <c r="A294" s="31" t="n">
        <v>293</v>
      </c>
      <c r="B294" s="27" t="n">
        <v>1</v>
      </c>
      <c r="C294" s="27" t="n">
        <v>9</v>
      </c>
      <c r="D294" s="27" t="n">
        <v>17</v>
      </c>
      <c r="E294" s="27" t="n">
        <v>21</v>
      </c>
      <c r="F294" s="27" t="n">
        <v>29</v>
      </c>
      <c r="G294" s="27" t="n">
        <v>33</v>
      </c>
      <c r="H294" s="27" t="n">
        <v>24</v>
      </c>
      <c r="J294" s="27">
        <f>SUMPRODUCT(COUNTIFS(확률!$J$2:$J$46, 원본!B294:G294, 확률!$M$2:$M$46, "&lt;=20"))</f>
        <v/>
      </c>
      <c r="K294" s="27">
        <f>SUMPRODUCT(COUNTIFS(확률!$J$2:$J$46, 원본!B294:G294, 확률!$M$2:$M$46, "&gt;=36"))</f>
        <v/>
      </c>
      <c r="L294" s="27">
        <f>6-J294-K294</f>
        <v/>
      </c>
    </row>
    <row r="295" ht="16.5" customHeight="1" s="28">
      <c r="A295" s="31" t="n">
        <v>294</v>
      </c>
      <c r="B295" s="27" t="n">
        <v>6</v>
      </c>
      <c r="C295" s="27" t="n">
        <v>10</v>
      </c>
      <c r="D295" s="27" t="n">
        <v>17</v>
      </c>
      <c r="E295" s="27" t="n">
        <v>30</v>
      </c>
      <c r="F295" s="27" t="n">
        <v>37</v>
      </c>
      <c r="G295" s="27" t="n">
        <v>38</v>
      </c>
      <c r="H295" s="27" t="n">
        <v>40</v>
      </c>
      <c r="J295" s="27">
        <f>SUMPRODUCT(COUNTIFS(확률!$J$2:$J$46, 원본!B295:G295, 확률!$M$2:$M$46, "&lt;=20"))</f>
        <v/>
      </c>
      <c r="K295" s="27">
        <f>SUMPRODUCT(COUNTIFS(확률!$J$2:$J$46, 원본!B295:G295, 확률!$M$2:$M$46, "&gt;=36"))</f>
        <v/>
      </c>
      <c r="L295" s="27">
        <f>6-J295-K295</f>
        <v/>
      </c>
    </row>
    <row r="296" ht="16.5" customHeight="1" s="28">
      <c r="A296" s="31" t="n">
        <v>295</v>
      </c>
      <c r="B296" s="27" t="n">
        <v>1</v>
      </c>
      <c r="C296" s="27" t="n">
        <v>4</v>
      </c>
      <c r="D296" s="27" t="n">
        <v>12</v>
      </c>
      <c r="E296" s="27" t="n">
        <v>16</v>
      </c>
      <c r="F296" s="27" t="n">
        <v>18</v>
      </c>
      <c r="G296" s="27" t="n">
        <v>38</v>
      </c>
      <c r="H296" s="27" t="n">
        <v>8</v>
      </c>
      <c r="J296" s="27">
        <f>SUMPRODUCT(COUNTIFS(확률!$J$2:$J$46, 원본!B296:G296, 확률!$M$2:$M$46, "&lt;=20"))</f>
        <v/>
      </c>
      <c r="K296" s="27">
        <f>SUMPRODUCT(COUNTIFS(확률!$J$2:$J$46, 원본!B296:G296, 확률!$M$2:$M$46, "&gt;=36"))</f>
        <v/>
      </c>
      <c r="L296" s="27">
        <f>6-J296-K296</f>
        <v/>
      </c>
    </row>
    <row r="297" ht="16.5" customHeight="1" s="28">
      <c r="A297" s="31" t="n">
        <v>296</v>
      </c>
      <c r="B297" s="27" t="n">
        <v>3</v>
      </c>
      <c r="C297" s="27" t="n">
        <v>8</v>
      </c>
      <c r="D297" s="27" t="n">
        <v>15</v>
      </c>
      <c r="E297" s="27" t="n">
        <v>27</v>
      </c>
      <c r="F297" s="27" t="n">
        <v>30</v>
      </c>
      <c r="G297" s="27" t="n">
        <v>45</v>
      </c>
      <c r="H297" s="27" t="n">
        <v>44</v>
      </c>
      <c r="J297" s="27">
        <f>SUMPRODUCT(COUNTIFS(확률!$J$2:$J$46, 원본!B297:G297, 확률!$M$2:$M$46, "&lt;=20"))</f>
        <v/>
      </c>
      <c r="K297" s="27">
        <f>SUMPRODUCT(COUNTIFS(확률!$J$2:$J$46, 원본!B297:G297, 확률!$M$2:$M$46, "&gt;=36"))</f>
        <v/>
      </c>
      <c r="L297" s="27">
        <f>6-J297-K297</f>
        <v/>
      </c>
    </row>
    <row r="298" ht="16.5" customHeight="1" s="28">
      <c r="A298" s="31" t="n">
        <v>297</v>
      </c>
      <c r="B298" s="27" t="n">
        <v>6</v>
      </c>
      <c r="C298" s="27" t="n">
        <v>11</v>
      </c>
      <c r="D298" s="27" t="n">
        <v>19</v>
      </c>
      <c r="E298" s="27" t="n">
        <v>20</v>
      </c>
      <c r="F298" s="27" t="n">
        <v>28</v>
      </c>
      <c r="G298" s="27" t="n">
        <v>32</v>
      </c>
      <c r="H298" s="27" t="n">
        <v>34</v>
      </c>
      <c r="J298" s="27">
        <f>SUMPRODUCT(COUNTIFS(확률!$J$2:$J$46, 원본!B298:G298, 확률!$M$2:$M$46, "&lt;=20"))</f>
        <v/>
      </c>
      <c r="K298" s="27">
        <f>SUMPRODUCT(COUNTIFS(확률!$J$2:$J$46, 원본!B298:G298, 확률!$M$2:$M$46, "&gt;=36"))</f>
        <v/>
      </c>
      <c r="L298" s="27">
        <f>6-J298-K298</f>
        <v/>
      </c>
    </row>
    <row r="299" ht="16.5" customHeight="1" s="28">
      <c r="A299" s="31" t="n">
        <v>298</v>
      </c>
      <c r="B299" s="27" t="n">
        <v>5</v>
      </c>
      <c r="C299" s="27" t="n">
        <v>9</v>
      </c>
      <c r="D299" s="27" t="n">
        <v>27</v>
      </c>
      <c r="E299" s="27" t="n">
        <v>29</v>
      </c>
      <c r="F299" s="27" t="n">
        <v>37</v>
      </c>
      <c r="G299" s="27" t="n">
        <v>40</v>
      </c>
      <c r="H299" s="27" t="n">
        <v>19</v>
      </c>
      <c r="J299" s="27">
        <f>SUMPRODUCT(COUNTIFS(확률!$J$2:$J$46, 원본!B299:G299, 확률!$M$2:$M$46, "&lt;=20"))</f>
        <v/>
      </c>
      <c r="K299" s="27">
        <f>SUMPRODUCT(COUNTIFS(확률!$J$2:$J$46, 원본!B299:G299, 확률!$M$2:$M$46, "&gt;=36"))</f>
        <v/>
      </c>
      <c r="L299" s="27">
        <f>6-J299-K299</f>
        <v/>
      </c>
    </row>
    <row r="300" ht="16.5" customHeight="1" s="28">
      <c r="A300" s="31" t="n">
        <v>299</v>
      </c>
      <c r="B300" s="27" t="n">
        <v>1</v>
      </c>
      <c r="C300" s="27" t="n">
        <v>3</v>
      </c>
      <c r="D300" s="27" t="n">
        <v>20</v>
      </c>
      <c r="E300" s="27" t="n">
        <v>25</v>
      </c>
      <c r="F300" s="27" t="n">
        <v>36</v>
      </c>
      <c r="G300" s="27" t="n">
        <v>45</v>
      </c>
      <c r="H300" s="27" t="n">
        <v>24</v>
      </c>
      <c r="J300" s="27">
        <f>SUMPRODUCT(COUNTIFS(확률!$J$2:$J$46, 원본!B300:G300, 확률!$M$2:$M$46, "&lt;=20"))</f>
        <v/>
      </c>
      <c r="K300" s="27">
        <f>SUMPRODUCT(COUNTIFS(확률!$J$2:$J$46, 원본!B300:G300, 확률!$M$2:$M$46, "&gt;=36"))</f>
        <v/>
      </c>
      <c r="L300" s="27">
        <f>6-J300-K300</f>
        <v/>
      </c>
    </row>
    <row r="301" ht="16.5" customHeight="1" s="28">
      <c r="A301" s="31" t="n">
        <v>300</v>
      </c>
      <c r="B301" s="27" t="n">
        <v>7</v>
      </c>
      <c r="C301" s="27" t="n">
        <v>9</v>
      </c>
      <c r="D301" s="27" t="n">
        <v>10</v>
      </c>
      <c r="E301" s="27" t="n">
        <v>12</v>
      </c>
      <c r="F301" s="27" t="n">
        <v>26</v>
      </c>
      <c r="G301" s="27" t="n">
        <v>38</v>
      </c>
      <c r="H301" s="27" t="n">
        <v>39</v>
      </c>
      <c r="J301" s="27">
        <f>SUMPRODUCT(COUNTIFS(확률!$J$2:$J$46, 원본!B301:G301, 확률!$M$2:$M$46, "&lt;=20"))</f>
        <v/>
      </c>
      <c r="K301" s="27">
        <f>SUMPRODUCT(COUNTIFS(확률!$J$2:$J$46, 원본!B301:G301, 확률!$M$2:$M$46, "&gt;=36"))</f>
        <v/>
      </c>
      <c r="L301" s="27">
        <f>6-J301-K301</f>
        <v/>
      </c>
    </row>
    <row r="302" ht="16.5" customHeight="1" s="28">
      <c r="A302" s="31" t="n">
        <v>301</v>
      </c>
      <c r="B302" s="27" t="n">
        <v>7</v>
      </c>
      <c r="C302" s="27" t="n">
        <v>11</v>
      </c>
      <c r="D302" s="27" t="n">
        <v>13</v>
      </c>
      <c r="E302" s="27" t="n">
        <v>33</v>
      </c>
      <c r="F302" s="27" t="n">
        <v>37</v>
      </c>
      <c r="G302" s="27" t="n">
        <v>43</v>
      </c>
      <c r="H302" s="27" t="n">
        <v>26</v>
      </c>
      <c r="J302" s="27">
        <f>SUMPRODUCT(COUNTIFS(확률!$J$2:$J$46, 원본!B302:G302, 확률!$M$2:$M$46, "&lt;=20"))</f>
        <v/>
      </c>
      <c r="K302" s="27">
        <f>SUMPRODUCT(COUNTIFS(확률!$J$2:$J$46, 원본!B302:G302, 확률!$M$2:$M$46, "&gt;=36"))</f>
        <v/>
      </c>
      <c r="L302" s="27">
        <f>6-J302-K302</f>
        <v/>
      </c>
    </row>
    <row r="303" ht="16.5" customHeight="1" s="28">
      <c r="A303" s="31" t="n">
        <v>302</v>
      </c>
      <c r="B303" s="27" t="n">
        <v>13</v>
      </c>
      <c r="C303" s="27" t="n">
        <v>19</v>
      </c>
      <c r="D303" s="27" t="n">
        <v>20</v>
      </c>
      <c r="E303" s="27" t="n">
        <v>32</v>
      </c>
      <c r="F303" s="27" t="n">
        <v>38</v>
      </c>
      <c r="G303" s="27" t="n">
        <v>42</v>
      </c>
      <c r="H303" s="27" t="n">
        <v>4</v>
      </c>
      <c r="J303" s="27">
        <f>SUMPRODUCT(COUNTIFS(확률!$J$2:$J$46, 원본!B303:G303, 확률!$M$2:$M$46, "&lt;=20"))</f>
        <v/>
      </c>
      <c r="K303" s="27">
        <f>SUMPRODUCT(COUNTIFS(확률!$J$2:$J$46, 원본!B303:G303, 확률!$M$2:$M$46, "&gt;=36"))</f>
        <v/>
      </c>
      <c r="L303" s="27">
        <f>6-J303-K303</f>
        <v/>
      </c>
    </row>
    <row r="304" ht="16.5" customHeight="1" s="28">
      <c r="A304" s="31" t="n">
        <v>303</v>
      </c>
      <c r="B304" s="27" t="n">
        <v>2</v>
      </c>
      <c r="C304" s="27" t="n">
        <v>14</v>
      </c>
      <c r="D304" s="27" t="n">
        <v>17</v>
      </c>
      <c r="E304" s="27" t="n">
        <v>30</v>
      </c>
      <c r="F304" s="27" t="n">
        <v>38</v>
      </c>
      <c r="G304" s="27" t="n">
        <v>45</v>
      </c>
      <c r="H304" s="27" t="n">
        <v>43</v>
      </c>
      <c r="J304" s="27">
        <f>SUMPRODUCT(COUNTIFS(확률!$J$2:$J$46, 원본!B304:G304, 확률!$M$2:$M$46, "&lt;=20"))</f>
        <v/>
      </c>
      <c r="K304" s="27">
        <f>SUMPRODUCT(COUNTIFS(확률!$J$2:$J$46, 원본!B304:G304, 확률!$M$2:$M$46, "&gt;=36"))</f>
        <v/>
      </c>
      <c r="L304" s="27">
        <f>6-J304-K304</f>
        <v/>
      </c>
    </row>
    <row r="305" ht="16.5" customHeight="1" s="28">
      <c r="A305" s="31" t="n">
        <v>304</v>
      </c>
      <c r="B305" s="27" t="n">
        <v>4</v>
      </c>
      <c r="C305" s="27" t="n">
        <v>10</v>
      </c>
      <c r="D305" s="27" t="n">
        <v>16</v>
      </c>
      <c r="E305" s="27" t="n">
        <v>26</v>
      </c>
      <c r="F305" s="27" t="n">
        <v>33</v>
      </c>
      <c r="G305" s="27" t="n">
        <v>41</v>
      </c>
      <c r="H305" s="27" t="n">
        <v>38</v>
      </c>
      <c r="J305" s="27">
        <f>SUMPRODUCT(COUNTIFS(확률!$J$2:$J$46, 원본!B305:G305, 확률!$M$2:$M$46, "&lt;=20"))</f>
        <v/>
      </c>
      <c r="K305" s="27">
        <f>SUMPRODUCT(COUNTIFS(확률!$J$2:$J$46, 원본!B305:G305, 확률!$M$2:$M$46, "&gt;=36"))</f>
        <v/>
      </c>
      <c r="L305" s="27">
        <f>6-J305-K305</f>
        <v/>
      </c>
    </row>
    <row r="306" ht="16.5" customHeight="1" s="28">
      <c r="A306" s="31" t="n">
        <v>305</v>
      </c>
      <c r="B306" s="27" t="n">
        <v>7</v>
      </c>
      <c r="C306" s="27" t="n">
        <v>8</v>
      </c>
      <c r="D306" s="27" t="n">
        <v>18</v>
      </c>
      <c r="E306" s="27" t="n">
        <v>21</v>
      </c>
      <c r="F306" s="27" t="n">
        <v>23</v>
      </c>
      <c r="G306" s="27" t="n">
        <v>39</v>
      </c>
      <c r="H306" s="27" t="n">
        <v>9</v>
      </c>
      <c r="J306" s="27">
        <f>SUMPRODUCT(COUNTIFS(확률!$J$2:$J$46, 원본!B306:G306, 확률!$M$2:$M$46, "&lt;=20"))</f>
        <v/>
      </c>
      <c r="K306" s="27">
        <f>SUMPRODUCT(COUNTIFS(확률!$J$2:$J$46, 원본!B306:G306, 확률!$M$2:$M$46, "&gt;=36"))</f>
        <v/>
      </c>
      <c r="L306" s="27">
        <f>6-J306-K306</f>
        <v/>
      </c>
    </row>
    <row r="307" ht="16.5" customHeight="1" s="28">
      <c r="A307" s="31" t="n">
        <v>306</v>
      </c>
      <c r="B307" s="27" t="n">
        <v>4</v>
      </c>
      <c r="C307" s="27" t="n">
        <v>18</v>
      </c>
      <c r="D307" s="27" t="n">
        <v>23</v>
      </c>
      <c r="E307" s="27" t="n">
        <v>30</v>
      </c>
      <c r="F307" s="27" t="n">
        <v>34</v>
      </c>
      <c r="G307" s="27" t="n">
        <v>41</v>
      </c>
      <c r="H307" s="27" t="n">
        <v>19</v>
      </c>
      <c r="J307" s="27">
        <f>SUMPRODUCT(COUNTIFS(확률!$J$2:$J$46, 원본!B307:G307, 확률!$M$2:$M$46, "&lt;=20"))</f>
        <v/>
      </c>
      <c r="K307" s="27">
        <f>SUMPRODUCT(COUNTIFS(확률!$J$2:$J$46, 원본!B307:G307, 확률!$M$2:$M$46, "&gt;=36"))</f>
        <v/>
      </c>
      <c r="L307" s="27">
        <f>6-J307-K307</f>
        <v/>
      </c>
    </row>
    <row r="308" ht="16.5" customHeight="1" s="28">
      <c r="A308" s="31" t="n">
        <v>307</v>
      </c>
      <c r="B308" s="27" t="n">
        <v>5</v>
      </c>
      <c r="C308" s="27" t="n">
        <v>15</v>
      </c>
      <c r="D308" s="27" t="n">
        <v>21</v>
      </c>
      <c r="E308" s="27" t="n">
        <v>23</v>
      </c>
      <c r="F308" s="27" t="n">
        <v>25</v>
      </c>
      <c r="G308" s="27" t="n">
        <v>45</v>
      </c>
      <c r="H308" s="27" t="n">
        <v>12</v>
      </c>
      <c r="J308" s="27">
        <f>SUMPRODUCT(COUNTIFS(확률!$J$2:$J$46, 원본!B308:G308, 확률!$M$2:$M$46, "&lt;=20"))</f>
        <v/>
      </c>
      <c r="K308" s="27">
        <f>SUMPRODUCT(COUNTIFS(확률!$J$2:$J$46, 원본!B308:G308, 확률!$M$2:$M$46, "&gt;=36"))</f>
        <v/>
      </c>
      <c r="L308" s="27">
        <f>6-J308-K308</f>
        <v/>
      </c>
    </row>
    <row r="309" ht="16.5" customHeight="1" s="28">
      <c r="A309" s="31" t="n">
        <v>308</v>
      </c>
      <c r="B309" s="27" t="n">
        <v>14</v>
      </c>
      <c r="C309" s="27" t="n">
        <v>15</v>
      </c>
      <c r="D309" s="27" t="n">
        <v>17</v>
      </c>
      <c r="E309" s="27" t="n">
        <v>19</v>
      </c>
      <c r="F309" s="27" t="n">
        <v>37</v>
      </c>
      <c r="G309" s="27" t="n">
        <v>45</v>
      </c>
      <c r="H309" s="27" t="n">
        <v>40</v>
      </c>
      <c r="J309" s="27">
        <f>SUMPRODUCT(COUNTIFS(확률!$J$2:$J$46, 원본!B309:G309, 확률!$M$2:$M$46, "&lt;=20"))</f>
        <v/>
      </c>
      <c r="K309" s="27">
        <f>SUMPRODUCT(COUNTIFS(확률!$J$2:$J$46, 원본!B309:G309, 확률!$M$2:$M$46, "&gt;=36"))</f>
        <v/>
      </c>
      <c r="L309" s="27">
        <f>6-J309-K309</f>
        <v/>
      </c>
    </row>
    <row r="310" ht="16.5" customHeight="1" s="28">
      <c r="A310" s="31" t="n">
        <v>309</v>
      </c>
      <c r="B310" s="27" t="n">
        <v>1</v>
      </c>
      <c r="C310" s="27" t="n">
        <v>2</v>
      </c>
      <c r="D310" s="27" t="n">
        <v>5</v>
      </c>
      <c r="E310" s="27" t="n">
        <v>11</v>
      </c>
      <c r="F310" s="27" t="n">
        <v>18</v>
      </c>
      <c r="G310" s="27" t="n">
        <v>36</v>
      </c>
      <c r="H310" s="27" t="n">
        <v>22</v>
      </c>
      <c r="J310" s="27">
        <f>SUMPRODUCT(COUNTIFS(확률!$J$2:$J$46, 원본!B310:G310, 확률!$M$2:$M$46, "&lt;=20"))</f>
        <v/>
      </c>
      <c r="K310" s="27">
        <f>SUMPRODUCT(COUNTIFS(확률!$J$2:$J$46, 원본!B310:G310, 확률!$M$2:$M$46, "&gt;=36"))</f>
        <v/>
      </c>
      <c r="L310" s="27">
        <f>6-J310-K310</f>
        <v/>
      </c>
    </row>
    <row r="311" ht="16.5" customHeight="1" s="28">
      <c r="A311" s="31" t="n">
        <v>310</v>
      </c>
      <c r="B311" s="27" t="n">
        <v>1</v>
      </c>
      <c r="C311" s="27" t="n">
        <v>5</v>
      </c>
      <c r="D311" s="27" t="n">
        <v>19</v>
      </c>
      <c r="E311" s="27" t="n">
        <v>28</v>
      </c>
      <c r="F311" s="27" t="n">
        <v>34</v>
      </c>
      <c r="G311" s="27" t="n">
        <v>41</v>
      </c>
      <c r="H311" s="27" t="n">
        <v>16</v>
      </c>
      <c r="J311" s="27">
        <f>SUMPRODUCT(COUNTIFS(확률!$J$2:$J$46, 원본!B311:G311, 확률!$M$2:$M$46, "&lt;=20"))</f>
        <v/>
      </c>
      <c r="K311" s="27">
        <f>SUMPRODUCT(COUNTIFS(확률!$J$2:$J$46, 원본!B311:G311, 확률!$M$2:$M$46, "&gt;=36"))</f>
        <v/>
      </c>
      <c r="L311" s="27">
        <f>6-J311-K311</f>
        <v/>
      </c>
    </row>
    <row r="312" ht="16.5" customHeight="1" s="28">
      <c r="A312" s="31" t="n">
        <v>311</v>
      </c>
      <c r="B312" s="27" t="n">
        <v>4</v>
      </c>
      <c r="C312" s="27" t="n">
        <v>12</v>
      </c>
      <c r="D312" s="27" t="n">
        <v>24</v>
      </c>
      <c r="E312" s="27" t="n">
        <v>27</v>
      </c>
      <c r="F312" s="27" t="n">
        <v>28</v>
      </c>
      <c r="G312" s="27" t="n">
        <v>32</v>
      </c>
      <c r="H312" s="27" t="n">
        <v>10</v>
      </c>
      <c r="J312" s="27">
        <f>SUMPRODUCT(COUNTIFS(확률!$J$2:$J$46, 원본!B312:G312, 확률!$M$2:$M$46, "&lt;=20"))</f>
        <v/>
      </c>
      <c r="K312" s="27">
        <f>SUMPRODUCT(COUNTIFS(확률!$J$2:$J$46, 원본!B312:G312, 확률!$M$2:$M$46, "&gt;=36"))</f>
        <v/>
      </c>
      <c r="L312" s="27">
        <f>6-J312-K312</f>
        <v/>
      </c>
    </row>
    <row r="313" ht="16.5" customHeight="1" s="28">
      <c r="A313" s="31" t="n">
        <v>312</v>
      </c>
      <c r="B313" s="27" t="n">
        <v>2</v>
      </c>
      <c r="C313" s="27" t="n">
        <v>3</v>
      </c>
      <c r="D313" s="27" t="n">
        <v>5</v>
      </c>
      <c r="E313" s="27" t="n">
        <v>6</v>
      </c>
      <c r="F313" s="27" t="n">
        <v>12</v>
      </c>
      <c r="G313" s="27" t="n">
        <v>20</v>
      </c>
      <c r="H313" s="27" t="n">
        <v>25</v>
      </c>
      <c r="J313" s="27">
        <f>SUMPRODUCT(COUNTIFS(확률!$J$2:$J$46, 원본!B313:G313, 확률!$M$2:$M$46, "&lt;=20"))</f>
        <v/>
      </c>
      <c r="K313" s="27">
        <f>SUMPRODUCT(COUNTIFS(확률!$J$2:$J$46, 원본!B313:G313, 확률!$M$2:$M$46, "&gt;=36"))</f>
        <v/>
      </c>
      <c r="L313" s="27">
        <f>6-J313-K313</f>
        <v/>
      </c>
    </row>
    <row r="314" ht="16.5" customHeight="1" s="28">
      <c r="A314" s="31" t="n">
        <v>313</v>
      </c>
      <c r="B314" s="27" t="n">
        <v>9</v>
      </c>
      <c r="C314" s="27" t="n">
        <v>17</v>
      </c>
      <c r="D314" s="27" t="n">
        <v>34</v>
      </c>
      <c r="E314" s="27" t="n">
        <v>35</v>
      </c>
      <c r="F314" s="27" t="n">
        <v>43</v>
      </c>
      <c r="G314" s="27" t="n">
        <v>45</v>
      </c>
      <c r="H314" s="27" t="n">
        <v>2</v>
      </c>
      <c r="J314" s="27">
        <f>SUMPRODUCT(COUNTIFS(확률!$J$2:$J$46, 원본!B314:G314, 확률!$M$2:$M$46, "&lt;=20"))</f>
        <v/>
      </c>
      <c r="K314" s="27">
        <f>SUMPRODUCT(COUNTIFS(확률!$J$2:$J$46, 원본!B314:G314, 확률!$M$2:$M$46, "&gt;=36"))</f>
        <v/>
      </c>
      <c r="L314" s="27">
        <f>6-J314-K314</f>
        <v/>
      </c>
    </row>
    <row r="315" ht="16.5" customHeight="1" s="28">
      <c r="A315" s="31" t="n">
        <v>314</v>
      </c>
      <c r="B315" s="27" t="n">
        <v>15</v>
      </c>
      <c r="C315" s="27" t="n">
        <v>17</v>
      </c>
      <c r="D315" s="27" t="n">
        <v>19</v>
      </c>
      <c r="E315" s="27" t="n">
        <v>34</v>
      </c>
      <c r="F315" s="27" t="n">
        <v>38</v>
      </c>
      <c r="G315" s="27" t="n">
        <v>41</v>
      </c>
      <c r="H315" s="27" t="n">
        <v>2</v>
      </c>
      <c r="J315" s="27">
        <f>SUMPRODUCT(COUNTIFS(확률!$J$2:$J$46, 원본!B315:G315, 확률!$M$2:$M$46, "&lt;=20"))</f>
        <v/>
      </c>
      <c r="K315" s="27">
        <f>SUMPRODUCT(COUNTIFS(확률!$J$2:$J$46, 원본!B315:G315, 확률!$M$2:$M$46, "&gt;=36"))</f>
        <v/>
      </c>
      <c r="L315" s="27">
        <f>6-J315-K315</f>
        <v/>
      </c>
    </row>
    <row r="316" ht="16.5" customHeight="1" s="28">
      <c r="A316" s="31" t="n">
        <v>315</v>
      </c>
      <c r="B316" s="27" t="n">
        <v>1</v>
      </c>
      <c r="C316" s="27" t="n">
        <v>13</v>
      </c>
      <c r="D316" s="27" t="n">
        <v>33</v>
      </c>
      <c r="E316" s="27" t="n">
        <v>35</v>
      </c>
      <c r="F316" s="27" t="n">
        <v>43</v>
      </c>
      <c r="G316" s="27" t="n">
        <v>45</v>
      </c>
      <c r="H316" s="27" t="n">
        <v>23</v>
      </c>
      <c r="J316" s="27">
        <f>SUMPRODUCT(COUNTIFS(확률!$J$2:$J$46, 원본!B316:G316, 확률!$M$2:$M$46, "&lt;=20"))</f>
        <v/>
      </c>
      <c r="K316" s="27">
        <f>SUMPRODUCT(COUNTIFS(확률!$J$2:$J$46, 원본!B316:G316, 확률!$M$2:$M$46, "&gt;=36"))</f>
        <v/>
      </c>
      <c r="L316" s="27">
        <f>6-J316-K316</f>
        <v/>
      </c>
    </row>
    <row r="317" ht="16.5" customHeight="1" s="28">
      <c r="A317" s="31" t="n">
        <v>316</v>
      </c>
      <c r="B317" s="27" t="n">
        <v>10</v>
      </c>
      <c r="C317" s="27" t="n">
        <v>11</v>
      </c>
      <c r="D317" s="27" t="n">
        <v>21</v>
      </c>
      <c r="E317" s="27" t="n">
        <v>27</v>
      </c>
      <c r="F317" s="27" t="n">
        <v>31</v>
      </c>
      <c r="G317" s="27" t="n">
        <v>39</v>
      </c>
      <c r="H317" s="27" t="n">
        <v>43</v>
      </c>
      <c r="J317" s="27">
        <f>SUMPRODUCT(COUNTIFS(확률!$J$2:$J$46, 원본!B317:G317, 확률!$M$2:$M$46, "&lt;=20"))</f>
        <v/>
      </c>
      <c r="K317" s="27">
        <f>SUMPRODUCT(COUNTIFS(확률!$J$2:$J$46, 원본!B317:G317, 확률!$M$2:$M$46, "&gt;=36"))</f>
        <v/>
      </c>
      <c r="L317" s="27">
        <f>6-J317-K317</f>
        <v/>
      </c>
    </row>
    <row r="318" ht="16.5" customHeight="1" s="28">
      <c r="A318" s="31" t="n">
        <v>317</v>
      </c>
      <c r="B318" s="27" t="n">
        <v>3</v>
      </c>
      <c r="C318" s="27" t="n">
        <v>10</v>
      </c>
      <c r="D318" s="27" t="n">
        <v>11</v>
      </c>
      <c r="E318" s="27" t="n">
        <v>22</v>
      </c>
      <c r="F318" s="27" t="n">
        <v>36</v>
      </c>
      <c r="G318" s="27" t="n">
        <v>39</v>
      </c>
      <c r="H318" s="27" t="n">
        <v>8</v>
      </c>
      <c r="J318" s="27">
        <f>SUMPRODUCT(COUNTIFS(확률!$J$2:$J$46, 원본!B318:G318, 확률!$M$2:$M$46, "&lt;=20"))</f>
        <v/>
      </c>
      <c r="K318" s="27">
        <f>SUMPRODUCT(COUNTIFS(확률!$J$2:$J$46, 원본!B318:G318, 확률!$M$2:$M$46, "&gt;=36"))</f>
        <v/>
      </c>
      <c r="L318" s="27">
        <f>6-J318-K318</f>
        <v/>
      </c>
    </row>
    <row r="319" ht="16.5" customHeight="1" s="28">
      <c r="A319" s="31" t="n">
        <v>318</v>
      </c>
      <c r="B319" s="27" t="n">
        <v>2</v>
      </c>
      <c r="C319" s="27" t="n">
        <v>17</v>
      </c>
      <c r="D319" s="27" t="n">
        <v>19</v>
      </c>
      <c r="E319" s="27" t="n">
        <v>20</v>
      </c>
      <c r="F319" s="27" t="n">
        <v>34</v>
      </c>
      <c r="G319" s="27" t="n">
        <v>45</v>
      </c>
      <c r="H319" s="27" t="n">
        <v>21</v>
      </c>
      <c r="J319" s="27">
        <f>SUMPRODUCT(COUNTIFS(확률!$J$2:$J$46, 원본!B319:G319, 확률!$M$2:$M$46, "&lt;=20"))</f>
        <v/>
      </c>
      <c r="K319" s="27">
        <f>SUMPRODUCT(COUNTIFS(확률!$J$2:$J$46, 원본!B319:G319, 확률!$M$2:$M$46, "&gt;=36"))</f>
        <v/>
      </c>
      <c r="L319" s="27">
        <f>6-J319-K319</f>
        <v/>
      </c>
    </row>
    <row r="320" ht="16.5" customHeight="1" s="28">
      <c r="A320" s="31" t="n">
        <v>319</v>
      </c>
      <c r="B320" s="27" t="n">
        <v>5</v>
      </c>
      <c r="C320" s="27" t="n">
        <v>8</v>
      </c>
      <c r="D320" s="27" t="n">
        <v>22</v>
      </c>
      <c r="E320" s="27" t="n">
        <v>28</v>
      </c>
      <c r="F320" s="27" t="n">
        <v>33</v>
      </c>
      <c r="G320" s="27" t="n">
        <v>42</v>
      </c>
      <c r="H320" s="27" t="n">
        <v>37</v>
      </c>
      <c r="J320" s="27">
        <f>SUMPRODUCT(COUNTIFS(확률!$J$2:$J$46, 원본!B320:G320, 확률!$M$2:$M$46, "&lt;=20"))</f>
        <v/>
      </c>
      <c r="K320" s="27">
        <f>SUMPRODUCT(COUNTIFS(확률!$J$2:$J$46, 원본!B320:G320, 확률!$M$2:$M$46, "&gt;=36"))</f>
        <v/>
      </c>
      <c r="L320" s="27">
        <f>6-J320-K320</f>
        <v/>
      </c>
    </row>
    <row r="321" ht="16.5" customHeight="1" s="28">
      <c r="A321" s="31" t="n">
        <v>320</v>
      </c>
      <c r="B321" s="27" t="n">
        <v>16</v>
      </c>
      <c r="C321" s="27" t="n">
        <v>19</v>
      </c>
      <c r="D321" s="27" t="n">
        <v>23</v>
      </c>
      <c r="E321" s="27" t="n">
        <v>25</v>
      </c>
      <c r="F321" s="27" t="n">
        <v>41</v>
      </c>
      <c r="G321" s="27" t="n">
        <v>45</v>
      </c>
      <c r="H321" s="27" t="n">
        <v>3</v>
      </c>
      <c r="J321" s="27">
        <f>SUMPRODUCT(COUNTIFS(확률!$J$2:$J$46, 원본!B321:G321, 확률!$M$2:$M$46, "&lt;=20"))</f>
        <v/>
      </c>
      <c r="K321" s="27">
        <f>SUMPRODUCT(COUNTIFS(확률!$J$2:$J$46, 원본!B321:G321, 확률!$M$2:$M$46, "&gt;=36"))</f>
        <v/>
      </c>
      <c r="L321" s="27">
        <f>6-J321-K321</f>
        <v/>
      </c>
    </row>
    <row r="322" ht="16.5" customHeight="1" s="28">
      <c r="A322" s="31" t="n">
        <v>321</v>
      </c>
      <c r="B322" s="27" t="n">
        <v>12</v>
      </c>
      <c r="C322" s="27" t="n">
        <v>18</v>
      </c>
      <c r="D322" s="27" t="n">
        <v>20</v>
      </c>
      <c r="E322" s="27" t="n">
        <v>21</v>
      </c>
      <c r="F322" s="27" t="n">
        <v>25</v>
      </c>
      <c r="G322" s="27" t="n">
        <v>34</v>
      </c>
      <c r="H322" s="27" t="n">
        <v>42</v>
      </c>
      <c r="J322" s="27">
        <f>SUMPRODUCT(COUNTIFS(확률!$J$2:$J$46, 원본!B322:G322, 확률!$M$2:$M$46, "&lt;=20"))</f>
        <v/>
      </c>
      <c r="K322" s="27">
        <f>SUMPRODUCT(COUNTIFS(확률!$J$2:$J$46, 원본!B322:G322, 확률!$M$2:$M$46, "&gt;=36"))</f>
        <v/>
      </c>
      <c r="L322" s="27">
        <f>6-J322-K322</f>
        <v/>
      </c>
    </row>
    <row r="323" ht="16.5" customHeight="1" s="28">
      <c r="A323" s="31" t="n">
        <v>322</v>
      </c>
      <c r="B323" s="27" t="n">
        <v>9</v>
      </c>
      <c r="C323" s="27" t="n">
        <v>18</v>
      </c>
      <c r="D323" s="27" t="n">
        <v>29</v>
      </c>
      <c r="E323" s="27" t="n">
        <v>32</v>
      </c>
      <c r="F323" s="27" t="n">
        <v>38</v>
      </c>
      <c r="G323" s="27" t="n">
        <v>43</v>
      </c>
      <c r="H323" s="27" t="n">
        <v>20</v>
      </c>
      <c r="J323" s="27">
        <f>SUMPRODUCT(COUNTIFS(확률!$J$2:$J$46, 원본!B323:G323, 확률!$M$2:$M$46, "&lt;=20"))</f>
        <v/>
      </c>
      <c r="K323" s="27">
        <f>SUMPRODUCT(COUNTIFS(확률!$J$2:$J$46, 원본!B323:G323, 확률!$M$2:$M$46, "&gt;=36"))</f>
        <v/>
      </c>
      <c r="L323" s="27">
        <f>6-J323-K323</f>
        <v/>
      </c>
    </row>
    <row r="324" ht="16.5" customHeight="1" s="28">
      <c r="A324" s="31" t="n">
        <v>323</v>
      </c>
      <c r="B324" s="27" t="n">
        <v>10</v>
      </c>
      <c r="C324" s="27" t="n">
        <v>14</v>
      </c>
      <c r="D324" s="27" t="n">
        <v>15</v>
      </c>
      <c r="E324" s="27" t="n">
        <v>32</v>
      </c>
      <c r="F324" s="27" t="n">
        <v>36</v>
      </c>
      <c r="G324" s="27" t="n">
        <v>42</v>
      </c>
      <c r="H324" s="27" t="n">
        <v>3</v>
      </c>
      <c r="J324" s="27">
        <f>SUMPRODUCT(COUNTIFS(확률!$J$2:$J$46, 원본!B324:G324, 확률!$M$2:$M$46, "&lt;=20"))</f>
        <v/>
      </c>
      <c r="K324" s="27">
        <f>SUMPRODUCT(COUNTIFS(확률!$J$2:$J$46, 원본!B324:G324, 확률!$M$2:$M$46, "&gt;=36"))</f>
        <v/>
      </c>
      <c r="L324" s="27">
        <f>6-J324-K324</f>
        <v/>
      </c>
    </row>
    <row r="325" ht="16.5" customHeight="1" s="28">
      <c r="A325" s="31" t="n">
        <v>324</v>
      </c>
      <c r="B325" s="27" t="n">
        <v>2</v>
      </c>
      <c r="C325" s="27" t="n">
        <v>4</v>
      </c>
      <c r="D325" s="27" t="n">
        <v>21</v>
      </c>
      <c r="E325" s="27" t="n">
        <v>25</v>
      </c>
      <c r="F325" s="27" t="n">
        <v>33</v>
      </c>
      <c r="G325" s="27" t="n">
        <v>36</v>
      </c>
      <c r="H325" s="27" t="n">
        <v>17</v>
      </c>
      <c r="J325" s="27">
        <f>SUMPRODUCT(COUNTIFS(확률!$J$2:$J$46, 원본!B325:G325, 확률!$M$2:$M$46, "&lt;=20"))</f>
        <v/>
      </c>
      <c r="K325" s="27">
        <f>SUMPRODUCT(COUNTIFS(확률!$J$2:$J$46, 원본!B325:G325, 확률!$M$2:$M$46, "&gt;=36"))</f>
        <v/>
      </c>
      <c r="L325" s="27">
        <f>6-J325-K325</f>
        <v/>
      </c>
    </row>
    <row r="326" ht="16.5" customHeight="1" s="28">
      <c r="A326" s="31" t="n">
        <v>325</v>
      </c>
      <c r="B326" s="27" t="n">
        <v>7</v>
      </c>
      <c r="C326" s="27" t="n">
        <v>17</v>
      </c>
      <c r="D326" s="27" t="n">
        <v>20</v>
      </c>
      <c r="E326" s="27" t="n">
        <v>32</v>
      </c>
      <c r="F326" s="27" t="n">
        <v>44</v>
      </c>
      <c r="G326" s="27" t="n">
        <v>45</v>
      </c>
      <c r="H326" s="27" t="n">
        <v>33</v>
      </c>
      <c r="J326" s="27">
        <f>SUMPRODUCT(COUNTIFS(확률!$J$2:$J$46, 원본!B326:G326, 확률!$M$2:$M$46, "&lt;=20"))</f>
        <v/>
      </c>
      <c r="K326" s="27">
        <f>SUMPRODUCT(COUNTIFS(확률!$J$2:$J$46, 원본!B326:G326, 확률!$M$2:$M$46, "&gt;=36"))</f>
        <v/>
      </c>
      <c r="L326" s="27">
        <f>6-J326-K326</f>
        <v/>
      </c>
    </row>
    <row r="327" ht="16.5" customHeight="1" s="28">
      <c r="A327" s="31" t="n">
        <v>326</v>
      </c>
      <c r="B327" s="27" t="n">
        <v>16</v>
      </c>
      <c r="C327" s="27" t="n">
        <v>23</v>
      </c>
      <c r="D327" s="27" t="n">
        <v>25</v>
      </c>
      <c r="E327" s="27" t="n">
        <v>33</v>
      </c>
      <c r="F327" s="27" t="n">
        <v>36</v>
      </c>
      <c r="G327" s="27" t="n">
        <v>39</v>
      </c>
      <c r="H327" s="27" t="n">
        <v>40</v>
      </c>
      <c r="J327" s="27">
        <f>SUMPRODUCT(COUNTIFS(확률!$J$2:$J$46, 원본!B327:G327, 확률!$M$2:$M$46, "&lt;=20"))</f>
        <v/>
      </c>
      <c r="K327" s="27">
        <f>SUMPRODUCT(COUNTIFS(확률!$J$2:$J$46, 원본!B327:G327, 확률!$M$2:$M$46, "&gt;=36"))</f>
        <v/>
      </c>
      <c r="L327" s="27">
        <f>6-J327-K327</f>
        <v/>
      </c>
    </row>
    <row r="328" ht="16.5" customHeight="1" s="28">
      <c r="A328" s="31" t="n">
        <v>327</v>
      </c>
      <c r="B328" s="27" t="n">
        <v>6</v>
      </c>
      <c r="C328" s="27" t="n">
        <v>12</v>
      </c>
      <c r="D328" s="27" t="n">
        <v>13</v>
      </c>
      <c r="E328" s="27" t="n">
        <v>17</v>
      </c>
      <c r="F328" s="27" t="n">
        <v>32</v>
      </c>
      <c r="G328" s="27" t="n">
        <v>44</v>
      </c>
      <c r="H328" s="27" t="n">
        <v>24</v>
      </c>
      <c r="J328" s="27">
        <f>SUMPRODUCT(COUNTIFS(확률!$J$2:$J$46, 원본!B328:G328, 확률!$M$2:$M$46, "&lt;=20"))</f>
        <v/>
      </c>
      <c r="K328" s="27">
        <f>SUMPRODUCT(COUNTIFS(확률!$J$2:$J$46, 원본!B328:G328, 확률!$M$2:$M$46, "&gt;=36"))</f>
        <v/>
      </c>
      <c r="L328" s="27">
        <f>6-J328-K328</f>
        <v/>
      </c>
    </row>
    <row r="329" ht="16.5" customHeight="1" s="28">
      <c r="A329" s="31" t="n">
        <v>328</v>
      </c>
      <c r="B329" s="27" t="n">
        <v>1</v>
      </c>
      <c r="C329" s="27" t="n">
        <v>6</v>
      </c>
      <c r="D329" s="27" t="n">
        <v>9</v>
      </c>
      <c r="E329" s="27" t="n">
        <v>16</v>
      </c>
      <c r="F329" s="27" t="n">
        <v>17</v>
      </c>
      <c r="G329" s="27" t="n">
        <v>28</v>
      </c>
      <c r="H329" s="27" t="n">
        <v>24</v>
      </c>
      <c r="J329" s="27">
        <f>SUMPRODUCT(COUNTIFS(확률!$J$2:$J$46, 원본!B329:G329, 확률!$M$2:$M$46, "&lt;=20"))</f>
        <v/>
      </c>
      <c r="K329" s="27">
        <f>SUMPRODUCT(COUNTIFS(확률!$J$2:$J$46, 원본!B329:G329, 확률!$M$2:$M$46, "&gt;=36"))</f>
        <v/>
      </c>
      <c r="L329" s="27">
        <f>6-J329-K329</f>
        <v/>
      </c>
    </row>
    <row r="330" ht="16.5" customHeight="1" s="28">
      <c r="A330" s="31" t="n">
        <v>329</v>
      </c>
      <c r="B330" s="27" t="n">
        <v>9</v>
      </c>
      <c r="C330" s="27" t="n">
        <v>17</v>
      </c>
      <c r="D330" s="27" t="n">
        <v>19</v>
      </c>
      <c r="E330" s="27" t="n">
        <v>30</v>
      </c>
      <c r="F330" s="27" t="n">
        <v>35</v>
      </c>
      <c r="G330" s="27" t="n">
        <v>42</v>
      </c>
      <c r="H330" s="27" t="n">
        <v>4</v>
      </c>
      <c r="J330" s="27">
        <f>SUMPRODUCT(COUNTIFS(확률!$J$2:$J$46, 원본!B330:G330, 확률!$M$2:$M$46, "&lt;=20"))</f>
        <v/>
      </c>
      <c r="K330" s="27">
        <f>SUMPRODUCT(COUNTIFS(확률!$J$2:$J$46, 원본!B330:G330, 확률!$M$2:$M$46, "&gt;=36"))</f>
        <v/>
      </c>
      <c r="L330" s="27">
        <f>6-J330-K330</f>
        <v/>
      </c>
    </row>
    <row r="331" ht="16.5" customHeight="1" s="28">
      <c r="A331" s="31" t="n">
        <v>330</v>
      </c>
      <c r="B331" s="27" t="n">
        <v>3</v>
      </c>
      <c r="C331" s="27" t="n">
        <v>4</v>
      </c>
      <c r="D331" s="27" t="n">
        <v>16</v>
      </c>
      <c r="E331" s="27" t="n">
        <v>17</v>
      </c>
      <c r="F331" s="27" t="n">
        <v>19</v>
      </c>
      <c r="G331" s="27" t="n">
        <v>20</v>
      </c>
      <c r="H331" s="27" t="n">
        <v>23</v>
      </c>
      <c r="J331" s="27">
        <f>SUMPRODUCT(COUNTIFS(확률!$J$2:$J$46, 원본!B331:G331, 확률!$M$2:$M$46, "&lt;=20"))</f>
        <v/>
      </c>
      <c r="K331" s="27">
        <f>SUMPRODUCT(COUNTIFS(확률!$J$2:$J$46, 원본!B331:G331, 확률!$M$2:$M$46, "&gt;=36"))</f>
        <v/>
      </c>
      <c r="L331" s="27">
        <f>6-J331-K331</f>
        <v/>
      </c>
    </row>
    <row r="332" ht="16.5" customHeight="1" s="28">
      <c r="A332" s="31" t="n">
        <v>331</v>
      </c>
      <c r="B332" s="27" t="n">
        <v>4</v>
      </c>
      <c r="C332" s="27" t="n">
        <v>9</v>
      </c>
      <c r="D332" s="27" t="n">
        <v>14</v>
      </c>
      <c r="E332" s="27" t="n">
        <v>26</v>
      </c>
      <c r="F332" s="27" t="n">
        <v>31</v>
      </c>
      <c r="G332" s="27" t="n">
        <v>44</v>
      </c>
      <c r="H332" s="27" t="n">
        <v>39</v>
      </c>
      <c r="J332" s="27">
        <f>SUMPRODUCT(COUNTIFS(확률!$J$2:$J$46, 원본!B332:G332, 확률!$M$2:$M$46, "&lt;=20"))</f>
        <v/>
      </c>
      <c r="K332" s="27">
        <f>SUMPRODUCT(COUNTIFS(확률!$J$2:$J$46, 원본!B332:G332, 확률!$M$2:$M$46, "&gt;=36"))</f>
        <v/>
      </c>
      <c r="L332" s="27">
        <f>6-J332-K332</f>
        <v/>
      </c>
    </row>
    <row r="333" ht="16.5" customHeight="1" s="28">
      <c r="A333" s="31" t="n">
        <v>332</v>
      </c>
      <c r="B333" s="27" t="n">
        <v>16</v>
      </c>
      <c r="C333" s="27" t="n">
        <v>17</v>
      </c>
      <c r="D333" s="27" t="n">
        <v>34</v>
      </c>
      <c r="E333" s="27" t="n">
        <v>36</v>
      </c>
      <c r="F333" s="27" t="n">
        <v>42</v>
      </c>
      <c r="G333" s="27" t="n">
        <v>45</v>
      </c>
      <c r="H333" s="27" t="n">
        <v>3</v>
      </c>
      <c r="J333" s="27">
        <f>SUMPRODUCT(COUNTIFS(확률!$J$2:$J$46, 원본!B333:G333, 확률!$M$2:$M$46, "&lt;=20"))</f>
        <v/>
      </c>
      <c r="K333" s="27">
        <f>SUMPRODUCT(COUNTIFS(확률!$J$2:$J$46, 원본!B333:G333, 확률!$M$2:$M$46, "&gt;=36"))</f>
        <v/>
      </c>
      <c r="L333" s="27">
        <f>6-J333-K333</f>
        <v/>
      </c>
    </row>
    <row r="334" ht="16.5" customHeight="1" s="28">
      <c r="A334" s="31" t="n">
        <v>333</v>
      </c>
      <c r="B334" s="27" t="n">
        <v>5</v>
      </c>
      <c r="C334" s="27" t="n">
        <v>14</v>
      </c>
      <c r="D334" s="27" t="n">
        <v>27</v>
      </c>
      <c r="E334" s="27" t="n">
        <v>30</v>
      </c>
      <c r="F334" s="27" t="n">
        <v>39</v>
      </c>
      <c r="G334" s="27" t="n">
        <v>43</v>
      </c>
      <c r="H334" s="27" t="n">
        <v>35</v>
      </c>
      <c r="J334" s="27">
        <f>SUMPRODUCT(COUNTIFS(확률!$J$2:$J$46, 원본!B334:G334, 확률!$M$2:$M$46, "&lt;=20"))</f>
        <v/>
      </c>
      <c r="K334" s="27">
        <f>SUMPRODUCT(COUNTIFS(확률!$J$2:$J$46, 원본!B334:G334, 확률!$M$2:$M$46, "&gt;=36"))</f>
        <v/>
      </c>
      <c r="L334" s="27">
        <f>6-J334-K334</f>
        <v/>
      </c>
    </row>
    <row r="335" ht="16.5" customHeight="1" s="28">
      <c r="A335" s="31" t="n">
        <v>334</v>
      </c>
      <c r="B335" s="27" t="n">
        <v>13</v>
      </c>
      <c r="C335" s="27" t="n">
        <v>15</v>
      </c>
      <c r="D335" s="27" t="n">
        <v>21</v>
      </c>
      <c r="E335" s="27" t="n">
        <v>29</v>
      </c>
      <c r="F335" s="27" t="n">
        <v>39</v>
      </c>
      <c r="G335" s="27" t="n">
        <v>43</v>
      </c>
      <c r="H335" s="27" t="n">
        <v>33</v>
      </c>
      <c r="J335" s="27">
        <f>SUMPRODUCT(COUNTIFS(확률!$J$2:$J$46, 원본!B335:G335, 확률!$M$2:$M$46, "&lt;=20"))</f>
        <v/>
      </c>
      <c r="K335" s="27">
        <f>SUMPRODUCT(COUNTIFS(확률!$J$2:$J$46, 원본!B335:G335, 확률!$M$2:$M$46, "&gt;=36"))</f>
        <v/>
      </c>
      <c r="L335" s="27">
        <f>6-J335-K335</f>
        <v/>
      </c>
    </row>
    <row r="336" ht="16.5" customHeight="1" s="28">
      <c r="A336" s="31" t="n">
        <v>335</v>
      </c>
      <c r="B336" s="27" t="n">
        <v>5</v>
      </c>
      <c r="C336" s="27" t="n">
        <v>9</v>
      </c>
      <c r="D336" s="27" t="n">
        <v>16</v>
      </c>
      <c r="E336" s="27" t="n">
        <v>23</v>
      </c>
      <c r="F336" s="27" t="n">
        <v>26</v>
      </c>
      <c r="G336" s="27" t="n">
        <v>45</v>
      </c>
      <c r="H336" s="27" t="n">
        <v>21</v>
      </c>
      <c r="J336" s="27">
        <f>SUMPRODUCT(COUNTIFS(확률!$J$2:$J$46, 원본!B336:G336, 확률!$M$2:$M$46, "&lt;=20"))</f>
        <v/>
      </c>
      <c r="K336" s="27">
        <f>SUMPRODUCT(COUNTIFS(확률!$J$2:$J$46, 원본!B336:G336, 확률!$M$2:$M$46, "&gt;=36"))</f>
        <v/>
      </c>
      <c r="L336" s="27">
        <f>6-J336-K336</f>
        <v/>
      </c>
    </row>
    <row r="337" ht="16.5" customHeight="1" s="28">
      <c r="A337" s="31" t="n">
        <v>336</v>
      </c>
      <c r="B337" s="27" t="n">
        <v>3</v>
      </c>
      <c r="C337" s="27" t="n">
        <v>5</v>
      </c>
      <c r="D337" s="27" t="n">
        <v>20</v>
      </c>
      <c r="E337" s="27" t="n">
        <v>34</v>
      </c>
      <c r="F337" s="27" t="n">
        <v>35</v>
      </c>
      <c r="G337" s="27" t="n">
        <v>44</v>
      </c>
      <c r="H337" s="27" t="n">
        <v>16</v>
      </c>
      <c r="J337" s="27">
        <f>SUMPRODUCT(COUNTIFS(확률!$J$2:$J$46, 원본!B337:G337, 확률!$M$2:$M$46, "&lt;=20"))</f>
        <v/>
      </c>
      <c r="K337" s="27">
        <f>SUMPRODUCT(COUNTIFS(확률!$J$2:$J$46, 원본!B337:G337, 확률!$M$2:$M$46, "&gt;=36"))</f>
        <v/>
      </c>
      <c r="L337" s="27">
        <f>6-J337-K337</f>
        <v/>
      </c>
    </row>
    <row r="338" ht="16.5" customHeight="1" s="28">
      <c r="A338" s="31" t="n">
        <v>337</v>
      </c>
      <c r="B338" s="27" t="n">
        <v>1</v>
      </c>
      <c r="C338" s="27" t="n">
        <v>5</v>
      </c>
      <c r="D338" s="27" t="n">
        <v>14</v>
      </c>
      <c r="E338" s="27" t="n">
        <v>18</v>
      </c>
      <c r="F338" s="27" t="n">
        <v>32</v>
      </c>
      <c r="G338" s="27" t="n">
        <v>37</v>
      </c>
      <c r="H338" s="27" t="n">
        <v>4</v>
      </c>
      <c r="J338" s="27">
        <f>SUMPRODUCT(COUNTIFS(확률!$J$2:$J$46, 원본!B338:G338, 확률!$M$2:$M$46, "&lt;=20"))</f>
        <v/>
      </c>
      <c r="K338" s="27">
        <f>SUMPRODUCT(COUNTIFS(확률!$J$2:$J$46, 원본!B338:G338, 확률!$M$2:$M$46, "&gt;=36"))</f>
        <v/>
      </c>
      <c r="L338" s="27">
        <f>6-J338-K338</f>
        <v/>
      </c>
    </row>
    <row r="339" ht="16.5" customHeight="1" s="28">
      <c r="A339" s="31" t="n">
        <v>338</v>
      </c>
      <c r="B339" s="27" t="n">
        <v>2</v>
      </c>
      <c r="C339" s="27" t="n">
        <v>13</v>
      </c>
      <c r="D339" s="27" t="n">
        <v>34</v>
      </c>
      <c r="E339" s="27" t="n">
        <v>38</v>
      </c>
      <c r="F339" s="27" t="n">
        <v>42</v>
      </c>
      <c r="G339" s="27" t="n">
        <v>45</v>
      </c>
      <c r="H339" s="27" t="n">
        <v>16</v>
      </c>
      <c r="J339" s="27">
        <f>SUMPRODUCT(COUNTIFS(확률!$J$2:$J$46, 원본!B339:G339, 확률!$M$2:$M$46, "&lt;=20"))</f>
        <v/>
      </c>
      <c r="K339" s="27">
        <f>SUMPRODUCT(COUNTIFS(확률!$J$2:$J$46, 원본!B339:G339, 확률!$M$2:$M$46, "&gt;=36"))</f>
        <v/>
      </c>
      <c r="L339" s="27">
        <f>6-J339-K339</f>
        <v/>
      </c>
    </row>
    <row r="340" ht="16.5" customHeight="1" s="28">
      <c r="A340" s="31" t="n">
        <v>339</v>
      </c>
      <c r="B340" s="27" t="n">
        <v>6</v>
      </c>
      <c r="C340" s="27" t="n">
        <v>8</v>
      </c>
      <c r="D340" s="27" t="n">
        <v>14</v>
      </c>
      <c r="E340" s="27" t="n">
        <v>21</v>
      </c>
      <c r="F340" s="27" t="n">
        <v>30</v>
      </c>
      <c r="G340" s="27" t="n">
        <v>37</v>
      </c>
      <c r="H340" s="27" t="n">
        <v>45</v>
      </c>
      <c r="J340" s="27">
        <f>SUMPRODUCT(COUNTIFS(확률!$J$2:$J$46, 원본!B340:G340, 확률!$M$2:$M$46, "&lt;=20"))</f>
        <v/>
      </c>
      <c r="K340" s="27">
        <f>SUMPRODUCT(COUNTIFS(확률!$J$2:$J$46, 원본!B340:G340, 확률!$M$2:$M$46, "&gt;=36"))</f>
        <v/>
      </c>
      <c r="L340" s="27">
        <f>6-J340-K340</f>
        <v/>
      </c>
    </row>
    <row r="341" ht="16.5" customHeight="1" s="28">
      <c r="A341" s="31" t="n">
        <v>340</v>
      </c>
      <c r="B341" s="27" t="n">
        <v>18</v>
      </c>
      <c r="C341" s="27" t="n">
        <v>24</v>
      </c>
      <c r="D341" s="27" t="n">
        <v>26</v>
      </c>
      <c r="E341" s="27" t="n">
        <v>29</v>
      </c>
      <c r="F341" s="27" t="n">
        <v>34</v>
      </c>
      <c r="G341" s="27" t="n">
        <v>38</v>
      </c>
      <c r="H341" s="27" t="n">
        <v>32</v>
      </c>
      <c r="J341" s="27">
        <f>SUMPRODUCT(COUNTIFS(확률!$J$2:$J$46, 원본!B341:G341, 확률!$M$2:$M$46, "&lt;=20"))</f>
        <v/>
      </c>
      <c r="K341" s="27">
        <f>SUMPRODUCT(COUNTIFS(확률!$J$2:$J$46, 원본!B341:G341, 확률!$M$2:$M$46, "&gt;=36"))</f>
        <v/>
      </c>
      <c r="L341" s="27">
        <f>6-J341-K341</f>
        <v/>
      </c>
    </row>
    <row r="342" ht="16.5" customHeight="1" s="28">
      <c r="A342" s="31" t="n">
        <v>341</v>
      </c>
      <c r="B342" s="27" t="n">
        <v>1</v>
      </c>
      <c r="C342" s="27" t="n">
        <v>8</v>
      </c>
      <c r="D342" s="27" t="n">
        <v>19</v>
      </c>
      <c r="E342" s="27" t="n">
        <v>34</v>
      </c>
      <c r="F342" s="27" t="n">
        <v>39</v>
      </c>
      <c r="G342" s="27" t="n">
        <v>43</v>
      </c>
      <c r="H342" s="27" t="n">
        <v>41</v>
      </c>
      <c r="J342" s="27">
        <f>SUMPRODUCT(COUNTIFS(확률!$J$2:$J$46, 원본!B342:G342, 확률!$M$2:$M$46, "&lt;=20"))</f>
        <v/>
      </c>
      <c r="K342" s="27">
        <f>SUMPRODUCT(COUNTIFS(확률!$J$2:$J$46, 원본!B342:G342, 확률!$M$2:$M$46, "&gt;=36"))</f>
        <v/>
      </c>
      <c r="L342" s="27">
        <f>6-J342-K342</f>
        <v/>
      </c>
    </row>
    <row r="343" ht="16.5" customHeight="1" s="28">
      <c r="A343" s="31" t="n">
        <v>342</v>
      </c>
      <c r="B343" s="27" t="n">
        <v>1</v>
      </c>
      <c r="C343" s="27" t="n">
        <v>13</v>
      </c>
      <c r="D343" s="27" t="n">
        <v>14</v>
      </c>
      <c r="E343" s="27" t="n">
        <v>33</v>
      </c>
      <c r="F343" s="27" t="n">
        <v>34</v>
      </c>
      <c r="G343" s="27" t="n">
        <v>43</v>
      </c>
      <c r="H343" s="27" t="n">
        <v>25</v>
      </c>
      <c r="J343" s="27">
        <f>SUMPRODUCT(COUNTIFS(확률!$J$2:$J$46, 원본!B343:G343, 확률!$M$2:$M$46, "&lt;=20"))</f>
        <v/>
      </c>
      <c r="K343" s="27">
        <f>SUMPRODUCT(COUNTIFS(확률!$J$2:$J$46, 원본!B343:G343, 확률!$M$2:$M$46, "&gt;=36"))</f>
        <v/>
      </c>
      <c r="L343" s="27">
        <f>6-J343-K343</f>
        <v/>
      </c>
    </row>
    <row r="344" ht="16.5" customHeight="1" s="28">
      <c r="A344" s="31" t="n">
        <v>343</v>
      </c>
      <c r="B344" s="27" t="n">
        <v>1</v>
      </c>
      <c r="C344" s="27" t="n">
        <v>10</v>
      </c>
      <c r="D344" s="27" t="n">
        <v>17</v>
      </c>
      <c r="E344" s="27" t="n">
        <v>29</v>
      </c>
      <c r="F344" s="27" t="n">
        <v>31</v>
      </c>
      <c r="G344" s="27" t="n">
        <v>43</v>
      </c>
      <c r="H344" s="27" t="n">
        <v>15</v>
      </c>
      <c r="J344" s="27">
        <f>SUMPRODUCT(COUNTIFS(확률!$J$2:$J$46, 원본!B344:G344, 확률!$M$2:$M$46, "&lt;=20"))</f>
        <v/>
      </c>
      <c r="K344" s="27">
        <f>SUMPRODUCT(COUNTIFS(확률!$J$2:$J$46, 원본!B344:G344, 확률!$M$2:$M$46, "&gt;=36"))</f>
        <v/>
      </c>
      <c r="L344" s="27">
        <f>6-J344-K344</f>
        <v/>
      </c>
    </row>
    <row r="345" ht="16.5" customHeight="1" s="28">
      <c r="A345" s="31" t="n">
        <v>344</v>
      </c>
      <c r="B345" s="27" t="n">
        <v>1</v>
      </c>
      <c r="C345" s="27" t="n">
        <v>2</v>
      </c>
      <c r="D345" s="27" t="n">
        <v>15</v>
      </c>
      <c r="E345" s="27" t="n">
        <v>28</v>
      </c>
      <c r="F345" s="27" t="n">
        <v>34</v>
      </c>
      <c r="G345" s="27" t="n">
        <v>45</v>
      </c>
      <c r="H345" s="27" t="n">
        <v>38</v>
      </c>
      <c r="J345" s="27">
        <f>SUMPRODUCT(COUNTIFS(확률!$J$2:$J$46, 원본!B345:G345, 확률!$M$2:$M$46, "&lt;=20"))</f>
        <v/>
      </c>
      <c r="K345" s="27">
        <f>SUMPRODUCT(COUNTIFS(확률!$J$2:$J$46, 원본!B345:G345, 확률!$M$2:$M$46, "&gt;=36"))</f>
        <v/>
      </c>
      <c r="L345" s="27">
        <f>6-J345-K345</f>
        <v/>
      </c>
    </row>
    <row r="346" ht="16.5" customHeight="1" s="28">
      <c r="A346" s="31" t="n">
        <v>345</v>
      </c>
      <c r="B346" s="27" t="n">
        <v>15</v>
      </c>
      <c r="C346" s="27" t="n">
        <v>20</v>
      </c>
      <c r="D346" s="27" t="n">
        <v>23</v>
      </c>
      <c r="E346" s="27" t="n">
        <v>29</v>
      </c>
      <c r="F346" s="27" t="n">
        <v>39</v>
      </c>
      <c r="G346" s="27" t="n">
        <v>42</v>
      </c>
      <c r="H346" s="27" t="n">
        <v>2</v>
      </c>
      <c r="J346" s="27">
        <f>SUMPRODUCT(COUNTIFS(확률!$J$2:$J$46, 원본!B346:G346, 확률!$M$2:$M$46, "&lt;=20"))</f>
        <v/>
      </c>
      <c r="K346" s="27">
        <f>SUMPRODUCT(COUNTIFS(확률!$J$2:$J$46, 원본!B346:G346, 확률!$M$2:$M$46, "&gt;=36"))</f>
        <v/>
      </c>
      <c r="L346" s="27">
        <f>6-J346-K346</f>
        <v/>
      </c>
    </row>
    <row r="347" ht="16.5" customHeight="1" s="28">
      <c r="A347" s="31" t="n">
        <v>346</v>
      </c>
      <c r="B347" s="27" t="n">
        <v>5</v>
      </c>
      <c r="C347" s="27" t="n">
        <v>13</v>
      </c>
      <c r="D347" s="27" t="n">
        <v>14</v>
      </c>
      <c r="E347" s="27" t="n">
        <v>22</v>
      </c>
      <c r="F347" s="27" t="n">
        <v>44</v>
      </c>
      <c r="G347" s="27" t="n">
        <v>45</v>
      </c>
      <c r="H347" s="27" t="n">
        <v>33</v>
      </c>
      <c r="J347" s="27">
        <f>SUMPRODUCT(COUNTIFS(확률!$J$2:$J$46, 원본!B347:G347, 확률!$M$2:$M$46, "&lt;=20"))</f>
        <v/>
      </c>
      <c r="K347" s="27">
        <f>SUMPRODUCT(COUNTIFS(확률!$J$2:$J$46, 원본!B347:G347, 확률!$M$2:$M$46, "&gt;=36"))</f>
        <v/>
      </c>
      <c r="L347" s="27">
        <f>6-J347-K347</f>
        <v/>
      </c>
    </row>
    <row r="348" ht="16.5" customHeight="1" s="28">
      <c r="A348" s="31" t="n">
        <v>347</v>
      </c>
      <c r="B348" s="27" t="n">
        <v>3</v>
      </c>
      <c r="C348" s="27" t="n">
        <v>8</v>
      </c>
      <c r="D348" s="27" t="n">
        <v>13</v>
      </c>
      <c r="E348" s="27" t="n">
        <v>27</v>
      </c>
      <c r="F348" s="27" t="n">
        <v>32</v>
      </c>
      <c r="G348" s="27" t="n">
        <v>42</v>
      </c>
      <c r="H348" s="27" t="n">
        <v>10</v>
      </c>
      <c r="J348" s="27">
        <f>SUMPRODUCT(COUNTIFS(확률!$J$2:$J$46, 원본!B348:G348, 확률!$M$2:$M$46, "&lt;=20"))</f>
        <v/>
      </c>
      <c r="K348" s="27">
        <f>SUMPRODUCT(COUNTIFS(확률!$J$2:$J$46, 원본!B348:G348, 확률!$M$2:$M$46, "&gt;=36"))</f>
        <v/>
      </c>
      <c r="L348" s="27">
        <f>6-J348-K348</f>
        <v/>
      </c>
    </row>
    <row r="349" ht="16.5" customHeight="1" s="28">
      <c r="A349" s="31" t="n">
        <v>348</v>
      </c>
      <c r="B349" s="27" t="n">
        <v>3</v>
      </c>
      <c r="C349" s="27" t="n">
        <v>14</v>
      </c>
      <c r="D349" s="27" t="n">
        <v>17</v>
      </c>
      <c r="E349" s="27" t="n">
        <v>20</v>
      </c>
      <c r="F349" s="27" t="n">
        <v>24</v>
      </c>
      <c r="G349" s="27" t="n">
        <v>31</v>
      </c>
      <c r="H349" s="27" t="n">
        <v>34</v>
      </c>
      <c r="J349" s="27">
        <f>SUMPRODUCT(COUNTIFS(확률!$J$2:$J$46, 원본!B349:G349, 확률!$M$2:$M$46, "&lt;=20"))</f>
        <v/>
      </c>
      <c r="K349" s="27">
        <f>SUMPRODUCT(COUNTIFS(확률!$J$2:$J$46, 원본!B349:G349, 확률!$M$2:$M$46, "&gt;=36"))</f>
        <v/>
      </c>
      <c r="L349" s="27">
        <f>6-J349-K349</f>
        <v/>
      </c>
    </row>
    <row r="350" ht="16.5" customHeight="1" s="28">
      <c r="A350" s="31" t="n">
        <v>349</v>
      </c>
      <c r="B350" s="27" t="n">
        <v>5</v>
      </c>
      <c r="C350" s="27" t="n">
        <v>13</v>
      </c>
      <c r="D350" s="27" t="n">
        <v>14</v>
      </c>
      <c r="E350" s="27" t="n">
        <v>20</v>
      </c>
      <c r="F350" s="27" t="n">
        <v>24</v>
      </c>
      <c r="G350" s="27" t="n">
        <v>25</v>
      </c>
      <c r="H350" s="27" t="n">
        <v>36</v>
      </c>
      <c r="J350" s="27">
        <f>SUMPRODUCT(COUNTIFS(확률!$J$2:$J$46, 원본!B350:G350, 확률!$M$2:$M$46, "&lt;=20"))</f>
        <v/>
      </c>
      <c r="K350" s="27">
        <f>SUMPRODUCT(COUNTIFS(확률!$J$2:$J$46, 원본!B350:G350, 확률!$M$2:$M$46, "&gt;=36"))</f>
        <v/>
      </c>
      <c r="L350" s="27">
        <f>6-J350-K350</f>
        <v/>
      </c>
    </row>
    <row r="351" ht="16.5" customHeight="1" s="28">
      <c r="A351" s="31" t="n">
        <v>350</v>
      </c>
      <c r="B351" s="27" t="n">
        <v>1</v>
      </c>
      <c r="C351" s="27" t="n">
        <v>8</v>
      </c>
      <c r="D351" s="27" t="n">
        <v>18</v>
      </c>
      <c r="E351" s="27" t="n">
        <v>24</v>
      </c>
      <c r="F351" s="27" t="n">
        <v>29</v>
      </c>
      <c r="G351" s="27" t="n">
        <v>33</v>
      </c>
      <c r="H351" s="27" t="n">
        <v>35</v>
      </c>
      <c r="J351" s="27">
        <f>SUMPRODUCT(COUNTIFS(확률!$J$2:$J$46, 원본!B351:G351, 확률!$M$2:$M$46, "&lt;=20"))</f>
        <v/>
      </c>
      <c r="K351" s="27">
        <f>SUMPRODUCT(COUNTIFS(확률!$J$2:$J$46, 원본!B351:G351, 확률!$M$2:$M$46, "&gt;=36"))</f>
        <v/>
      </c>
      <c r="L351" s="27">
        <f>6-J351-K351</f>
        <v/>
      </c>
    </row>
    <row r="352" ht="16.5" customHeight="1" s="28">
      <c r="A352" s="31" t="n">
        <v>351</v>
      </c>
      <c r="B352" s="27" t="n">
        <v>5</v>
      </c>
      <c r="C352" s="27" t="n">
        <v>25</v>
      </c>
      <c r="D352" s="27" t="n">
        <v>27</v>
      </c>
      <c r="E352" s="27" t="n">
        <v>29</v>
      </c>
      <c r="F352" s="27" t="n">
        <v>34</v>
      </c>
      <c r="G352" s="27" t="n">
        <v>36</v>
      </c>
      <c r="H352" s="27" t="n">
        <v>33</v>
      </c>
      <c r="J352" s="27">
        <f>SUMPRODUCT(COUNTIFS(확률!$J$2:$J$46, 원본!B352:G352, 확률!$M$2:$M$46, "&lt;=20"))</f>
        <v/>
      </c>
      <c r="K352" s="27">
        <f>SUMPRODUCT(COUNTIFS(확률!$J$2:$J$46, 원본!B352:G352, 확률!$M$2:$M$46, "&gt;=36"))</f>
        <v/>
      </c>
      <c r="L352" s="27">
        <f>6-J352-K352</f>
        <v/>
      </c>
    </row>
    <row r="353" ht="16.5" customHeight="1" s="28">
      <c r="A353" s="31" t="n">
        <v>352</v>
      </c>
      <c r="B353" s="27" t="n">
        <v>5</v>
      </c>
      <c r="C353" s="27" t="n">
        <v>16</v>
      </c>
      <c r="D353" s="27" t="n">
        <v>17</v>
      </c>
      <c r="E353" s="27" t="n">
        <v>20</v>
      </c>
      <c r="F353" s="27" t="n">
        <v>26</v>
      </c>
      <c r="G353" s="27" t="n">
        <v>41</v>
      </c>
      <c r="H353" s="27" t="n">
        <v>24</v>
      </c>
      <c r="J353" s="27">
        <f>SUMPRODUCT(COUNTIFS(확률!$J$2:$J$46, 원본!B353:G353, 확률!$M$2:$M$46, "&lt;=20"))</f>
        <v/>
      </c>
      <c r="K353" s="27">
        <f>SUMPRODUCT(COUNTIFS(확률!$J$2:$J$46, 원본!B353:G353, 확률!$M$2:$M$46, "&gt;=36"))</f>
        <v/>
      </c>
      <c r="L353" s="27">
        <f>6-J353-K353</f>
        <v/>
      </c>
    </row>
    <row r="354" ht="16.5" customHeight="1" s="28">
      <c r="A354" s="31" t="n">
        <v>353</v>
      </c>
      <c r="B354" s="27" t="n">
        <v>11</v>
      </c>
      <c r="C354" s="27" t="n">
        <v>16</v>
      </c>
      <c r="D354" s="27" t="n">
        <v>19</v>
      </c>
      <c r="E354" s="27" t="n">
        <v>22</v>
      </c>
      <c r="F354" s="27" t="n">
        <v>29</v>
      </c>
      <c r="G354" s="27" t="n">
        <v>36</v>
      </c>
      <c r="H354" s="27" t="n">
        <v>26</v>
      </c>
      <c r="J354" s="27">
        <f>SUMPRODUCT(COUNTIFS(확률!$J$2:$J$46, 원본!B354:G354, 확률!$M$2:$M$46, "&lt;=20"))</f>
        <v/>
      </c>
      <c r="K354" s="27">
        <f>SUMPRODUCT(COUNTIFS(확률!$J$2:$J$46, 원본!B354:G354, 확률!$M$2:$M$46, "&gt;=36"))</f>
        <v/>
      </c>
      <c r="L354" s="27">
        <f>6-J354-K354</f>
        <v/>
      </c>
    </row>
    <row r="355" ht="16.5" customHeight="1" s="28">
      <c r="A355" s="31" t="n">
        <v>354</v>
      </c>
      <c r="B355" s="27" t="n">
        <v>14</v>
      </c>
      <c r="C355" s="27" t="n">
        <v>19</v>
      </c>
      <c r="D355" s="27" t="n">
        <v>36</v>
      </c>
      <c r="E355" s="27" t="n">
        <v>43</v>
      </c>
      <c r="F355" s="27" t="n">
        <v>44</v>
      </c>
      <c r="G355" s="27" t="n">
        <v>45</v>
      </c>
      <c r="H355" s="27" t="n">
        <v>1</v>
      </c>
      <c r="J355" s="27">
        <f>SUMPRODUCT(COUNTIFS(확률!$J$2:$J$46, 원본!B355:G355, 확률!$M$2:$M$46, "&lt;=20"))</f>
        <v/>
      </c>
      <c r="K355" s="27">
        <f>SUMPRODUCT(COUNTIFS(확률!$J$2:$J$46, 원본!B355:G355, 확률!$M$2:$M$46, "&gt;=36"))</f>
        <v/>
      </c>
      <c r="L355" s="27">
        <f>6-J355-K355</f>
        <v/>
      </c>
    </row>
    <row r="356" ht="16.5" customHeight="1" s="28">
      <c r="A356" s="31" t="n">
        <v>355</v>
      </c>
      <c r="B356" s="27" t="n">
        <v>5</v>
      </c>
      <c r="C356" s="27" t="n">
        <v>8</v>
      </c>
      <c r="D356" s="27" t="n">
        <v>29</v>
      </c>
      <c r="E356" s="27" t="n">
        <v>30</v>
      </c>
      <c r="F356" s="27" t="n">
        <v>35</v>
      </c>
      <c r="G356" s="27" t="n">
        <v>44</v>
      </c>
      <c r="H356" s="27" t="n">
        <v>38</v>
      </c>
      <c r="J356" s="27">
        <f>SUMPRODUCT(COUNTIFS(확률!$J$2:$J$46, 원본!B356:G356, 확률!$M$2:$M$46, "&lt;=20"))</f>
        <v/>
      </c>
      <c r="K356" s="27">
        <f>SUMPRODUCT(COUNTIFS(확률!$J$2:$J$46, 원본!B356:G356, 확률!$M$2:$M$46, "&gt;=36"))</f>
        <v/>
      </c>
      <c r="L356" s="27">
        <f>6-J356-K356</f>
        <v/>
      </c>
    </row>
    <row r="357" ht="16.5" customHeight="1" s="28">
      <c r="A357" s="31" t="n">
        <v>356</v>
      </c>
      <c r="B357" s="27" t="n">
        <v>2</v>
      </c>
      <c r="C357" s="27" t="n">
        <v>8</v>
      </c>
      <c r="D357" s="27" t="n">
        <v>14</v>
      </c>
      <c r="E357" s="27" t="n">
        <v>25</v>
      </c>
      <c r="F357" s="27" t="n">
        <v>29</v>
      </c>
      <c r="G357" s="27" t="n">
        <v>45</v>
      </c>
      <c r="H357" s="27" t="n">
        <v>24</v>
      </c>
      <c r="J357" s="27">
        <f>SUMPRODUCT(COUNTIFS(확률!$J$2:$J$46, 원본!B357:G357, 확률!$M$2:$M$46, "&lt;=20"))</f>
        <v/>
      </c>
      <c r="K357" s="27">
        <f>SUMPRODUCT(COUNTIFS(확률!$J$2:$J$46, 원본!B357:G357, 확률!$M$2:$M$46, "&gt;=36"))</f>
        <v/>
      </c>
      <c r="L357" s="27">
        <f>6-J357-K357</f>
        <v/>
      </c>
    </row>
    <row r="358" ht="16.5" customHeight="1" s="28">
      <c r="A358" s="31" t="n">
        <v>357</v>
      </c>
      <c r="B358" s="27" t="n">
        <v>10</v>
      </c>
      <c r="C358" s="27" t="n">
        <v>14</v>
      </c>
      <c r="D358" s="27" t="n">
        <v>18</v>
      </c>
      <c r="E358" s="27" t="n">
        <v>21</v>
      </c>
      <c r="F358" s="27" t="n">
        <v>36</v>
      </c>
      <c r="G358" s="27" t="n">
        <v>37</v>
      </c>
      <c r="H358" s="27" t="n">
        <v>5</v>
      </c>
      <c r="J358" s="27">
        <f>SUMPRODUCT(COUNTIFS(확률!$J$2:$J$46, 원본!B358:G358, 확률!$M$2:$M$46, "&lt;=20"))</f>
        <v/>
      </c>
      <c r="K358" s="27">
        <f>SUMPRODUCT(COUNTIFS(확률!$J$2:$J$46, 원본!B358:G358, 확률!$M$2:$M$46, "&gt;=36"))</f>
        <v/>
      </c>
      <c r="L358" s="27">
        <f>6-J358-K358</f>
        <v/>
      </c>
    </row>
    <row r="359" ht="16.5" customHeight="1" s="28">
      <c r="A359" s="31" t="n">
        <v>358</v>
      </c>
      <c r="B359" s="27" t="n">
        <v>1</v>
      </c>
      <c r="C359" s="27" t="n">
        <v>9</v>
      </c>
      <c r="D359" s="27" t="n">
        <v>10</v>
      </c>
      <c r="E359" s="27" t="n">
        <v>12</v>
      </c>
      <c r="F359" s="27" t="n">
        <v>21</v>
      </c>
      <c r="G359" s="27" t="n">
        <v>40</v>
      </c>
      <c r="H359" s="27" t="n">
        <v>37</v>
      </c>
      <c r="J359" s="27">
        <f>SUMPRODUCT(COUNTIFS(확률!$J$2:$J$46, 원본!B359:G359, 확률!$M$2:$M$46, "&lt;=20"))</f>
        <v/>
      </c>
      <c r="K359" s="27">
        <f>SUMPRODUCT(COUNTIFS(확률!$J$2:$J$46, 원본!B359:G359, 확률!$M$2:$M$46, "&gt;=36"))</f>
        <v/>
      </c>
      <c r="L359" s="27">
        <f>6-J359-K359</f>
        <v/>
      </c>
    </row>
    <row r="360" ht="16.5" customHeight="1" s="28">
      <c r="A360" s="31" t="n">
        <v>359</v>
      </c>
      <c r="B360" s="27" t="n">
        <v>1</v>
      </c>
      <c r="C360" s="27" t="n">
        <v>10</v>
      </c>
      <c r="D360" s="27" t="n">
        <v>19</v>
      </c>
      <c r="E360" s="27" t="n">
        <v>20</v>
      </c>
      <c r="F360" s="27" t="n">
        <v>24</v>
      </c>
      <c r="G360" s="27" t="n">
        <v>40</v>
      </c>
      <c r="H360" s="27" t="n">
        <v>23</v>
      </c>
      <c r="J360" s="27">
        <f>SUMPRODUCT(COUNTIFS(확률!$J$2:$J$46, 원본!B360:G360, 확률!$M$2:$M$46, "&lt;=20"))</f>
        <v/>
      </c>
      <c r="K360" s="27">
        <f>SUMPRODUCT(COUNTIFS(확률!$J$2:$J$46, 원본!B360:G360, 확률!$M$2:$M$46, "&gt;=36"))</f>
        <v/>
      </c>
      <c r="L360" s="27">
        <f>6-J360-K360</f>
        <v/>
      </c>
    </row>
    <row r="361" ht="16.5" customHeight="1" s="28">
      <c r="A361" s="31" t="n">
        <v>360</v>
      </c>
      <c r="B361" s="27" t="n">
        <v>4</v>
      </c>
      <c r="C361" s="27" t="n">
        <v>16</v>
      </c>
      <c r="D361" s="27" t="n">
        <v>23</v>
      </c>
      <c r="E361" s="27" t="n">
        <v>25</v>
      </c>
      <c r="F361" s="27" t="n">
        <v>35</v>
      </c>
      <c r="G361" s="27" t="n">
        <v>40</v>
      </c>
      <c r="H361" s="27" t="n">
        <v>27</v>
      </c>
      <c r="J361" s="27">
        <f>SUMPRODUCT(COUNTIFS(확률!$J$2:$J$46, 원본!B361:G361, 확률!$M$2:$M$46, "&lt;=20"))</f>
        <v/>
      </c>
      <c r="K361" s="27">
        <f>SUMPRODUCT(COUNTIFS(확률!$J$2:$J$46, 원본!B361:G361, 확률!$M$2:$M$46, "&gt;=36"))</f>
        <v/>
      </c>
      <c r="L361" s="27">
        <f>6-J361-K361</f>
        <v/>
      </c>
    </row>
    <row r="362" ht="16.5" customHeight="1" s="28">
      <c r="A362" s="31" t="n">
        <v>361</v>
      </c>
      <c r="B362" s="27" t="n">
        <v>5</v>
      </c>
      <c r="C362" s="27" t="n">
        <v>10</v>
      </c>
      <c r="D362" s="27" t="n">
        <v>16</v>
      </c>
      <c r="E362" s="27" t="n">
        <v>24</v>
      </c>
      <c r="F362" s="27" t="n">
        <v>27</v>
      </c>
      <c r="G362" s="27" t="n">
        <v>35</v>
      </c>
      <c r="H362" s="27" t="n">
        <v>33</v>
      </c>
      <c r="J362" s="27">
        <f>SUMPRODUCT(COUNTIFS(확률!$J$2:$J$46, 원본!B362:G362, 확률!$M$2:$M$46, "&lt;=20"))</f>
        <v/>
      </c>
      <c r="K362" s="27">
        <f>SUMPRODUCT(COUNTIFS(확률!$J$2:$J$46, 원본!B362:G362, 확률!$M$2:$M$46, "&gt;=36"))</f>
        <v/>
      </c>
      <c r="L362" s="27">
        <f>6-J362-K362</f>
        <v/>
      </c>
    </row>
    <row r="363" ht="16.5" customHeight="1" s="28">
      <c r="A363" s="31" t="n">
        <v>362</v>
      </c>
      <c r="B363" s="27" t="n">
        <v>2</v>
      </c>
      <c r="C363" s="27" t="n">
        <v>3</v>
      </c>
      <c r="D363" s="27" t="n">
        <v>22</v>
      </c>
      <c r="E363" s="27" t="n">
        <v>27</v>
      </c>
      <c r="F363" s="27" t="n">
        <v>30</v>
      </c>
      <c r="G363" s="27" t="n">
        <v>40</v>
      </c>
      <c r="H363" s="27" t="n">
        <v>29</v>
      </c>
      <c r="J363" s="27">
        <f>SUMPRODUCT(COUNTIFS(확률!$J$2:$J$46, 원본!B363:G363, 확률!$M$2:$M$46, "&lt;=20"))</f>
        <v/>
      </c>
      <c r="K363" s="27">
        <f>SUMPRODUCT(COUNTIFS(확률!$J$2:$J$46, 원본!B363:G363, 확률!$M$2:$M$46, "&gt;=36"))</f>
        <v/>
      </c>
      <c r="L363" s="27">
        <f>6-J363-K363</f>
        <v/>
      </c>
    </row>
    <row r="364" ht="16.5" customHeight="1" s="28">
      <c r="A364" s="31" t="n">
        <v>363</v>
      </c>
      <c r="B364" s="27" t="n">
        <v>11</v>
      </c>
      <c r="C364" s="27" t="n">
        <v>12</v>
      </c>
      <c r="D364" s="27" t="n">
        <v>14</v>
      </c>
      <c r="E364" s="27" t="n">
        <v>21</v>
      </c>
      <c r="F364" s="27" t="n">
        <v>32</v>
      </c>
      <c r="G364" s="27" t="n">
        <v>38</v>
      </c>
      <c r="H364" s="27" t="n">
        <v>6</v>
      </c>
      <c r="J364" s="27">
        <f>SUMPRODUCT(COUNTIFS(확률!$J$2:$J$46, 원본!B364:G364, 확률!$M$2:$M$46, "&lt;=20"))</f>
        <v/>
      </c>
      <c r="K364" s="27">
        <f>SUMPRODUCT(COUNTIFS(확률!$J$2:$J$46, 원본!B364:G364, 확률!$M$2:$M$46, "&gt;=36"))</f>
        <v/>
      </c>
      <c r="L364" s="27">
        <f>6-J364-K364</f>
        <v/>
      </c>
    </row>
    <row r="365" ht="16.5" customHeight="1" s="28">
      <c r="A365" s="31" t="n">
        <v>364</v>
      </c>
      <c r="B365" s="27" t="n">
        <v>2</v>
      </c>
      <c r="C365" s="27" t="n">
        <v>5</v>
      </c>
      <c r="D365" s="27" t="n">
        <v>7</v>
      </c>
      <c r="E365" s="27" t="n">
        <v>14</v>
      </c>
      <c r="F365" s="27" t="n">
        <v>16</v>
      </c>
      <c r="G365" s="27" t="n">
        <v>40</v>
      </c>
      <c r="H365" s="27" t="n">
        <v>4</v>
      </c>
      <c r="J365" s="27">
        <f>SUMPRODUCT(COUNTIFS(확률!$J$2:$J$46, 원본!B365:G365, 확률!$M$2:$M$46, "&lt;=20"))</f>
        <v/>
      </c>
      <c r="K365" s="27">
        <f>SUMPRODUCT(COUNTIFS(확률!$J$2:$J$46, 원본!B365:G365, 확률!$M$2:$M$46, "&gt;=36"))</f>
        <v/>
      </c>
      <c r="L365" s="27">
        <f>6-J365-K365</f>
        <v/>
      </c>
    </row>
    <row r="366" ht="16.5" customHeight="1" s="28">
      <c r="A366" s="31" t="n">
        <v>365</v>
      </c>
      <c r="B366" s="27" t="n">
        <v>5</v>
      </c>
      <c r="C366" s="27" t="n">
        <v>15</v>
      </c>
      <c r="D366" s="27" t="n">
        <v>21</v>
      </c>
      <c r="E366" s="27" t="n">
        <v>25</v>
      </c>
      <c r="F366" s="27" t="n">
        <v>26</v>
      </c>
      <c r="G366" s="27" t="n">
        <v>30</v>
      </c>
      <c r="H366" s="27" t="n">
        <v>31</v>
      </c>
      <c r="J366" s="27">
        <f>SUMPRODUCT(COUNTIFS(확률!$J$2:$J$46, 원본!B366:G366, 확률!$M$2:$M$46, "&lt;=20"))</f>
        <v/>
      </c>
      <c r="K366" s="27">
        <f>SUMPRODUCT(COUNTIFS(확률!$J$2:$J$46, 원본!B366:G366, 확률!$M$2:$M$46, "&gt;=36"))</f>
        <v/>
      </c>
      <c r="L366" s="27">
        <f>6-J366-K366</f>
        <v/>
      </c>
    </row>
    <row r="367" ht="16.5" customHeight="1" s="28">
      <c r="A367" s="31" t="n">
        <v>366</v>
      </c>
      <c r="B367" s="27" t="n">
        <v>5</v>
      </c>
      <c r="C367" s="27" t="n">
        <v>12</v>
      </c>
      <c r="D367" s="27" t="n">
        <v>19</v>
      </c>
      <c r="E367" s="27" t="n">
        <v>26</v>
      </c>
      <c r="F367" s="27" t="n">
        <v>27</v>
      </c>
      <c r="G367" s="27" t="n">
        <v>44</v>
      </c>
      <c r="H367" s="27" t="n">
        <v>38</v>
      </c>
      <c r="J367" s="27">
        <f>SUMPRODUCT(COUNTIFS(확률!$J$2:$J$46, 원본!B367:G367, 확률!$M$2:$M$46, "&lt;=20"))</f>
        <v/>
      </c>
      <c r="K367" s="27">
        <f>SUMPRODUCT(COUNTIFS(확률!$J$2:$J$46, 원본!B367:G367, 확률!$M$2:$M$46, "&gt;=36"))</f>
        <v/>
      </c>
      <c r="L367" s="27">
        <f>6-J367-K367</f>
        <v/>
      </c>
    </row>
    <row r="368" ht="16.5" customHeight="1" s="28">
      <c r="A368" s="31" t="n">
        <v>367</v>
      </c>
      <c r="B368" s="27" t="n">
        <v>3</v>
      </c>
      <c r="C368" s="27" t="n">
        <v>22</v>
      </c>
      <c r="D368" s="27" t="n">
        <v>25</v>
      </c>
      <c r="E368" s="27" t="n">
        <v>29</v>
      </c>
      <c r="F368" s="27" t="n">
        <v>32</v>
      </c>
      <c r="G368" s="27" t="n">
        <v>44</v>
      </c>
      <c r="H368" s="27" t="n">
        <v>19</v>
      </c>
      <c r="J368" s="27">
        <f>SUMPRODUCT(COUNTIFS(확률!$J$2:$J$46, 원본!B368:G368, 확률!$M$2:$M$46, "&lt;=20"))</f>
        <v/>
      </c>
      <c r="K368" s="27">
        <f>SUMPRODUCT(COUNTIFS(확률!$J$2:$J$46, 원본!B368:G368, 확률!$M$2:$M$46, "&gt;=36"))</f>
        <v/>
      </c>
      <c r="L368" s="27">
        <f>6-J368-K368</f>
        <v/>
      </c>
    </row>
    <row r="369" ht="16.5" customHeight="1" s="28">
      <c r="A369" s="31" t="n">
        <v>368</v>
      </c>
      <c r="B369" s="27" t="n">
        <v>11</v>
      </c>
      <c r="C369" s="27" t="n">
        <v>21</v>
      </c>
      <c r="D369" s="27" t="n">
        <v>24</v>
      </c>
      <c r="E369" s="27" t="n">
        <v>30</v>
      </c>
      <c r="F369" s="27" t="n">
        <v>39</v>
      </c>
      <c r="G369" s="27" t="n">
        <v>45</v>
      </c>
      <c r="H369" s="27" t="n">
        <v>26</v>
      </c>
      <c r="J369" s="27">
        <f>SUMPRODUCT(COUNTIFS(확률!$J$2:$J$46, 원본!B369:G369, 확률!$M$2:$M$46, "&lt;=20"))</f>
        <v/>
      </c>
      <c r="K369" s="27">
        <f>SUMPRODUCT(COUNTIFS(확률!$J$2:$J$46, 원본!B369:G369, 확률!$M$2:$M$46, "&gt;=36"))</f>
        <v/>
      </c>
      <c r="L369" s="27">
        <f>6-J369-K369</f>
        <v/>
      </c>
    </row>
    <row r="370" ht="16.5" customHeight="1" s="28">
      <c r="A370" s="31" t="n">
        <v>369</v>
      </c>
      <c r="B370" s="27" t="n">
        <v>17</v>
      </c>
      <c r="C370" s="27" t="n">
        <v>20</v>
      </c>
      <c r="D370" s="27" t="n">
        <v>35</v>
      </c>
      <c r="E370" s="27" t="n">
        <v>36</v>
      </c>
      <c r="F370" s="27" t="n">
        <v>41</v>
      </c>
      <c r="G370" s="27" t="n">
        <v>43</v>
      </c>
      <c r="H370" s="27" t="n">
        <v>21</v>
      </c>
      <c r="J370" s="27">
        <f>SUMPRODUCT(COUNTIFS(확률!$J$2:$J$46, 원본!B370:G370, 확률!$M$2:$M$46, "&lt;=20"))</f>
        <v/>
      </c>
      <c r="K370" s="27">
        <f>SUMPRODUCT(COUNTIFS(확률!$J$2:$J$46, 원본!B370:G370, 확률!$M$2:$M$46, "&gt;=36"))</f>
        <v/>
      </c>
      <c r="L370" s="27">
        <f>6-J370-K370</f>
        <v/>
      </c>
    </row>
    <row r="371" ht="16.5" customHeight="1" s="28">
      <c r="A371" s="31" t="n">
        <v>370</v>
      </c>
      <c r="B371" s="27" t="n">
        <v>16</v>
      </c>
      <c r="C371" s="27" t="n">
        <v>18</v>
      </c>
      <c r="D371" s="27" t="n">
        <v>24</v>
      </c>
      <c r="E371" s="27" t="n">
        <v>42</v>
      </c>
      <c r="F371" s="27" t="n">
        <v>44</v>
      </c>
      <c r="G371" s="27" t="n">
        <v>45</v>
      </c>
      <c r="H371" s="27" t="n">
        <v>17</v>
      </c>
      <c r="J371" s="27">
        <f>SUMPRODUCT(COUNTIFS(확률!$J$2:$J$46, 원본!B371:G371, 확률!$M$2:$M$46, "&lt;=20"))</f>
        <v/>
      </c>
      <c r="K371" s="27">
        <f>SUMPRODUCT(COUNTIFS(확률!$J$2:$J$46, 원본!B371:G371, 확률!$M$2:$M$46, "&gt;=36"))</f>
        <v/>
      </c>
      <c r="L371" s="27">
        <f>6-J371-K371</f>
        <v/>
      </c>
    </row>
    <row r="372" ht="16.5" customHeight="1" s="28">
      <c r="A372" s="31" t="n">
        <v>371</v>
      </c>
      <c r="B372" s="27" t="n">
        <v>7</v>
      </c>
      <c r="C372" s="27" t="n">
        <v>9</v>
      </c>
      <c r="D372" s="27" t="n">
        <v>15</v>
      </c>
      <c r="E372" s="27" t="n">
        <v>26</v>
      </c>
      <c r="F372" s="27" t="n">
        <v>27</v>
      </c>
      <c r="G372" s="27" t="n">
        <v>42</v>
      </c>
      <c r="H372" s="27" t="n">
        <v>18</v>
      </c>
      <c r="J372" s="27">
        <f>SUMPRODUCT(COUNTIFS(확률!$J$2:$J$46, 원본!B372:G372, 확률!$M$2:$M$46, "&lt;=20"))</f>
        <v/>
      </c>
      <c r="K372" s="27">
        <f>SUMPRODUCT(COUNTIFS(확률!$J$2:$J$46, 원본!B372:G372, 확률!$M$2:$M$46, "&gt;=36"))</f>
        <v/>
      </c>
      <c r="L372" s="27">
        <f>6-J372-K372</f>
        <v/>
      </c>
    </row>
    <row r="373" ht="16.5" customHeight="1" s="28">
      <c r="A373" s="31" t="n">
        <v>372</v>
      </c>
      <c r="B373" s="27" t="n">
        <v>8</v>
      </c>
      <c r="C373" s="27" t="n">
        <v>11</v>
      </c>
      <c r="D373" s="27" t="n">
        <v>14</v>
      </c>
      <c r="E373" s="27" t="n">
        <v>16</v>
      </c>
      <c r="F373" s="27" t="n">
        <v>18</v>
      </c>
      <c r="G373" s="27" t="n">
        <v>21</v>
      </c>
      <c r="H373" s="27" t="n">
        <v>13</v>
      </c>
      <c r="J373" s="27">
        <f>SUMPRODUCT(COUNTIFS(확률!$J$2:$J$46, 원본!B373:G373, 확률!$M$2:$M$46, "&lt;=20"))</f>
        <v/>
      </c>
      <c r="K373" s="27">
        <f>SUMPRODUCT(COUNTIFS(확률!$J$2:$J$46, 원본!B373:G373, 확률!$M$2:$M$46, "&gt;=36"))</f>
        <v/>
      </c>
      <c r="L373" s="27">
        <f>6-J373-K373</f>
        <v/>
      </c>
    </row>
    <row r="374" ht="16.5" customHeight="1" s="28">
      <c r="A374" s="31" t="n">
        <v>373</v>
      </c>
      <c r="B374" s="27" t="n">
        <v>15</v>
      </c>
      <c r="C374" s="27" t="n">
        <v>26</v>
      </c>
      <c r="D374" s="27" t="n">
        <v>37</v>
      </c>
      <c r="E374" s="27" t="n">
        <v>42</v>
      </c>
      <c r="F374" s="27" t="n">
        <v>43</v>
      </c>
      <c r="G374" s="27" t="n">
        <v>45</v>
      </c>
      <c r="H374" s="27" t="n">
        <v>9</v>
      </c>
      <c r="J374" s="27">
        <f>SUMPRODUCT(COUNTIFS(확률!$J$2:$J$46, 원본!B374:G374, 확률!$M$2:$M$46, "&lt;=20"))</f>
        <v/>
      </c>
      <c r="K374" s="27">
        <f>SUMPRODUCT(COUNTIFS(확률!$J$2:$J$46, 원본!B374:G374, 확률!$M$2:$M$46, "&gt;=36"))</f>
        <v/>
      </c>
      <c r="L374" s="27">
        <f>6-J374-K374</f>
        <v/>
      </c>
    </row>
    <row r="375" ht="16.5" customHeight="1" s="28">
      <c r="A375" s="31" t="n">
        <v>374</v>
      </c>
      <c r="B375" s="27" t="n">
        <v>11</v>
      </c>
      <c r="C375" s="27" t="n">
        <v>13</v>
      </c>
      <c r="D375" s="27" t="n">
        <v>15</v>
      </c>
      <c r="E375" s="27" t="n">
        <v>17</v>
      </c>
      <c r="F375" s="27" t="n">
        <v>25</v>
      </c>
      <c r="G375" s="27" t="n">
        <v>34</v>
      </c>
      <c r="H375" s="27" t="n">
        <v>26</v>
      </c>
      <c r="J375" s="27">
        <f>SUMPRODUCT(COUNTIFS(확률!$J$2:$J$46, 원본!B375:G375, 확률!$M$2:$M$46, "&lt;=20"))</f>
        <v/>
      </c>
      <c r="K375" s="27">
        <f>SUMPRODUCT(COUNTIFS(확률!$J$2:$J$46, 원본!B375:G375, 확률!$M$2:$M$46, "&gt;=36"))</f>
        <v/>
      </c>
      <c r="L375" s="27">
        <f>6-J375-K375</f>
        <v/>
      </c>
    </row>
    <row r="376" ht="16.5" customHeight="1" s="28">
      <c r="A376" s="31" t="n">
        <v>375</v>
      </c>
      <c r="B376" s="27" t="n">
        <v>4</v>
      </c>
      <c r="C376" s="27" t="n">
        <v>8</v>
      </c>
      <c r="D376" s="27" t="n">
        <v>19</v>
      </c>
      <c r="E376" s="27" t="n">
        <v>25</v>
      </c>
      <c r="F376" s="27" t="n">
        <v>27</v>
      </c>
      <c r="G376" s="27" t="n">
        <v>45</v>
      </c>
      <c r="H376" s="27" t="n">
        <v>7</v>
      </c>
      <c r="J376" s="27">
        <f>SUMPRODUCT(COUNTIFS(확률!$J$2:$J$46, 원본!B376:G376, 확률!$M$2:$M$46, "&lt;=20"))</f>
        <v/>
      </c>
      <c r="K376" s="27">
        <f>SUMPRODUCT(COUNTIFS(확률!$J$2:$J$46, 원본!B376:G376, 확률!$M$2:$M$46, "&gt;=36"))</f>
        <v/>
      </c>
      <c r="L376" s="27">
        <f>6-J376-K376</f>
        <v/>
      </c>
    </row>
    <row r="377" ht="16.5" customHeight="1" s="28">
      <c r="A377" s="31" t="n">
        <v>376</v>
      </c>
      <c r="B377" s="27" t="n">
        <v>1</v>
      </c>
      <c r="C377" s="27" t="n">
        <v>11</v>
      </c>
      <c r="D377" s="27" t="n">
        <v>13</v>
      </c>
      <c r="E377" s="27" t="n">
        <v>24</v>
      </c>
      <c r="F377" s="27" t="n">
        <v>28</v>
      </c>
      <c r="G377" s="27" t="n">
        <v>40</v>
      </c>
      <c r="H377" s="27" t="n">
        <v>7</v>
      </c>
      <c r="J377" s="27">
        <f>SUMPRODUCT(COUNTIFS(확률!$J$2:$J$46, 원본!B377:G377, 확률!$M$2:$M$46, "&lt;=20"))</f>
        <v/>
      </c>
      <c r="K377" s="27">
        <f>SUMPRODUCT(COUNTIFS(확률!$J$2:$J$46, 원본!B377:G377, 확률!$M$2:$M$46, "&gt;=36"))</f>
        <v/>
      </c>
      <c r="L377" s="27">
        <f>6-J377-K377</f>
        <v/>
      </c>
    </row>
    <row r="378" ht="16.5" customHeight="1" s="28">
      <c r="A378" s="31" t="n">
        <v>377</v>
      </c>
      <c r="B378" s="27" t="n">
        <v>6</v>
      </c>
      <c r="C378" s="27" t="n">
        <v>22</v>
      </c>
      <c r="D378" s="27" t="n">
        <v>29</v>
      </c>
      <c r="E378" s="27" t="n">
        <v>37</v>
      </c>
      <c r="F378" s="27" t="n">
        <v>43</v>
      </c>
      <c r="G378" s="27" t="n">
        <v>45</v>
      </c>
      <c r="H378" s="27" t="n">
        <v>23</v>
      </c>
      <c r="J378" s="27">
        <f>SUMPRODUCT(COUNTIFS(확률!$J$2:$J$46, 원본!B378:G378, 확률!$M$2:$M$46, "&lt;=20"))</f>
        <v/>
      </c>
      <c r="K378" s="27">
        <f>SUMPRODUCT(COUNTIFS(확률!$J$2:$J$46, 원본!B378:G378, 확률!$M$2:$M$46, "&gt;=36"))</f>
        <v/>
      </c>
      <c r="L378" s="27">
        <f>6-J378-K378</f>
        <v/>
      </c>
    </row>
    <row r="379" ht="16.5" customHeight="1" s="28">
      <c r="A379" s="31" t="n">
        <v>378</v>
      </c>
      <c r="B379" s="27" t="n">
        <v>5</v>
      </c>
      <c r="C379" s="27" t="n">
        <v>22</v>
      </c>
      <c r="D379" s="27" t="n">
        <v>29</v>
      </c>
      <c r="E379" s="27" t="n">
        <v>31</v>
      </c>
      <c r="F379" s="27" t="n">
        <v>34</v>
      </c>
      <c r="G379" s="27" t="n">
        <v>39</v>
      </c>
      <c r="H379" s="27" t="n">
        <v>43</v>
      </c>
      <c r="J379" s="27">
        <f>SUMPRODUCT(COUNTIFS(확률!$J$2:$J$46, 원본!B379:G379, 확률!$M$2:$M$46, "&lt;=20"))</f>
        <v/>
      </c>
      <c r="K379" s="27">
        <f>SUMPRODUCT(COUNTIFS(확률!$J$2:$J$46, 원본!B379:G379, 확률!$M$2:$M$46, "&gt;=36"))</f>
        <v/>
      </c>
      <c r="L379" s="27">
        <f>6-J379-K379</f>
        <v/>
      </c>
    </row>
    <row r="380" ht="16.5" customHeight="1" s="28">
      <c r="A380" s="31" t="n">
        <v>379</v>
      </c>
      <c r="B380" s="27" t="n">
        <v>6</v>
      </c>
      <c r="C380" s="27" t="n">
        <v>10</v>
      </c>
      <c r="D380" s="27" t="n">
        <v>22</v>
      </c>
      <c r="E380" s="27" t="n">
        <v>31</v>
      </c>
      <c r="F380" s="27" t="n">
        <v>35</v>
      </c>
      <c r="G380" s="27" t="n">
        <v>40</v>
      </c>
      <c r="H380" s="27" t="n">
        <v>19</v>
      </c>
      <c r="J380" s="27">
        <f>SUMPRODUCT(COUNTIFS(확률!$J$2:$J$46, 원본!B380:G380, 확률!$M$2:$M$46, "&lt;=20"))</f>
        <v/>
      </c>
      <c r="K380" s="27">
        <f>SUMPRODUCT(COUNTIFS(확률!$J$2:$J$46, 원본!B380:G380, 확률!$M$2:$M$46, "&gt;=36"))</f>
        <v/>
      </c>
      <c r="L380" s="27">
        <f>6-J380-K380</f>
        <v/>
      </c>
    </row>
    <row r="381" ht="16.5" customHeight="1" s="28">
      <c r="A381" s="31" t="n">
        <v>380</v>
      </c>
      <c r="B381" s="27" t="n">
        <v>1</v>
      </c>
      <c r="C381" s="27" t="n">
        <v>2</v>
      </c>
      <c r="D381" s="27" t="n">
        <v>8</v>
      </c>
      <c r="E381" s="27" t="n">
        <v>17</v>
      </c>
      <c r="F381" s="27" t="n">
        <v>26</v>
      </c>
      <c r="G381" s="27" t="n">
        <v>37</v>
      </c>
      <c r="H381" s="27" t="n">
        <v>27</v>
      </c>
      <c r="J381" s="27">
        <f>SUMPRODUCT(COUNTIFS(확률!$J$2:$J$46, 원본!B381:G381, 확률!$M$2:$M$46, "&lt;=20"))</f>
        <v/>
      </c>
      <c r="K381" s="27">
        <f>SUMPRODUCT(COUNTIFS(확률!$J$2:$J$46, 원본!B381:G381, 확률!$M$2:$M$46, "&gt;=36"))</f>
        <v/>
      </c>
      <c r="L381" s="27">
        <f>6-J381-K381</f>
        <v/>
      </c>
    </row>
    <row r="382" ht="16.5" customHeight="1" s="28">
      <c r="A382" s="31" t="n">
        <v>381</v>
      </c>
      <c r="B382" s="27" t="n">
        <v>1</v>
      </c>
      <c r="C382" s="27" t="n">
        <v>5</v>
      </c>
      <c r="D382" s="27" t="n">
        <v>10</v>
      </c>
      <c r="E382" s="27" t="n">
        <v>16</v>
      </c>
      <c r="F382" s="27" t="n">
        <v>12</v>
      </c>
      <c r="G382" s="27" t="n">
        <v>20</v>
      </c>
      <c r="H382" s="27" t="n">
        <v>11</v>
      </c>
      <c r="J382" s="27">
        <f>SUMPRODUCT(COUNTIFS(확률!$J$2:$J$46, 원본!B382:G382, 확률!$M$2:$M$46, "&lt;=20"))</f>
        <v/>
      </c>
      <c r="K382" s="27">
        <f>SUMPRODUCT(COUNTIFS(확률!$J$2:$J$46, 원본!B382:G382, 확률!$M$2:$M$46, "&gt;=36"))</f>
        <v/>
      </c>
      <c r="L382" s="27">
        <f>6-J382-K382</f>
        <v/>
      </c>
    </row>
    <row r="383" ht="16.5" customHeight="1" s="28">
      <c r="A383" s="31" t="n">
        <v>382</v>
      </c>
      <c r="B383" s="27" t="n">
        <v>10</v>
      </c>
      <c r="C383" s="27" t="n">
        <v>15</v>
      </c>
      <c r="D383" s="27" t="n">
        <v>22</v>
      </c>
      <c r="E383" s="27" t="n">
        <v>24</v>
      </c>
      <c r="F383" s="27" t="n">
        <v>27</v>
      </c>
      <c r="G383" s="27" t="n">
        <v>42</v>
      </c>
      <c r="H383" s="27" t="n">
        <v>19</v>
      </c>
      <c r="J383" s="27">
        <f>SUMPRODUCT(COUNTIFS(확률!$J$2:$J$46, 원본!B383:G383, 확률!$M$2:$M$46, "&lt;=20"))</f>
        <v/>
      </c>
      <c r="K383" s="27">
        <f>SUMPRODUCT(COUNTIFS(확률!$J$2:$J$46, 원본!B383:G383, 확률!$M$2:$M$46, "&gt;=36"))</f>
        <v/>
      </c>
      <c r="L383" s="27">
        <f>6-J383-K383</f>
        <v/>
      </c>
    </row>
    <row r="384" ht="16.5" customHeight="1" s="28">
      <c r="A384" s="31" t="n">
        <v>383</v>
      </c>
      <c r="B384" s="27" t="n">
        <v>4</v>
      </c>
      <c r="C384" s="27" t="n">
        <v>15</v>
      </c>
      <c r="D384" s="27" t="n">
        <v>28</v>
      </c>
      <c r="E384" s="27" t="n">
        <v>33</v>
      </c>
      <c r="F384" s="27" t="n">
        <v>37</v>
      </c>
      <c r="G384" s="27" t="n">
        <v>40</v>
      </c>
      <c r="H384" s="27" t="n">
        <v>25</v>
      </c>
      <c r="J384" s="27">
        <f>SUMPRODUCT(COUNTIFS(확률!$J$2:$J$46, 원본!B384:G384, 확률!$M$2:$M$46, "&lt;=20"))</f>
        <v/>
      </c>
      <c r="K384" s="27">
        <f>SUMPRODUCT(COUNTIFS(확률!$J$2:$J$46, 원본!B384:G384, 확률!$M$2:$M$46, "&gt;=36"))</f>
        <v/>
      </c>
      <c r="L384" s="27">
        <f>6-J384-K384</f>
        <v/>
      </c>
    </row>
    <row r="385" ht="16.5" customHeight="1" s="28">
      <c r="A385" s="31" t="n">
        <v>384</v>
      </c>
      <c r="B385" s="27" t="n">
        <v>11</v>
      </c>
      <c r="C385" s="27" t="n">
        <v>22</v>
      </c>
      <c r="D385" s="27" t="n">
        <v>24</v>
      </c>
      <c r="E385" s="27" t="n">
        <v>32</v>
      </c>
      <c r="F385" s="27" t="n">
        <v>36</v>
      </c>
      <c r="G385" s="27" t="n">
        <v>38</v>
      </c>
      <c r="H385" s="27" t="n">
        <v>7</v>
      </c>
      <c r="J385" s="27">
        <f>SUMPRODUCT(COUNTIFS(확률!$J$2:$J$46, 원본!B385:G385, 확률!$M$2:$M$46, "&lt;=20"))</f>
        <v/>
      </c>
      <c r="K385" s="27">
        <f>SUMPRODUCT(COUNTIFS(확률!$J$2:$J$46, 원본!B385:G385, 확률!$M$2:$M$46, "&gt;=36"))</f>
        <v/>
      </c>
      <c r="L385" s="27">
        <f>6-J385-K385</f>
        <v/>
      </c>
    </row>
    <row r="386" ht="16.5" customHeight="1" s="28">
      <c r="A386" s="31" t="n">
        <v>385</v>
      </c>
      <c r="B386" s="27" t="n">
        <v>7</v>
      </c>
      <c r="C386" s="27" t="n">
        <v>12</v>
      </c>
      <c r="D386" s="27" t="n">
        <v>19</v>
      </c>
      <c r="E386" s="27" t="n">
        <v>21</v>
      </c>
      <c r="F386" s="27" t="n">
        <v>29</v>
      </c>
      <c r="G386" s="27" t="n">
        <v>32</v>
      </c>
      <c r="H386" s="27" t="n">
        <v>9</v>
      </c>
      <c r="J386" s="27">
        <f>SUMPRODUCT(COUNTIFS(확률!$J$2:$J$46, 원본!B386:G386, 확률!$M$2:$M$46, "&lt;=20"))</f>
        <v/>
      </c>
      <c r="K386" s="27">
        <f>SUMPRODUCT(COUNTIFS(확률!$J$2:$J$46, 원본!B386:G386, 확률!$M$2:$M$46, "&gt;=36"))</f>
        <v/>
      </c>
      <c r="L386" s="27">
        <f>6-J386-K386</f>
        <v/>
      </c>
    </row>
    <row r="387" ht="16.5" customHeight="1" s="28">
      <c r="A387" s="31" t="n">
        <v>386</v>
      </c>
      <c r="B387" s="27" t="n">
        <v>4</v>
      </c>
      <c r="C387" s="27" t="n">
        <v>7</v>
      </c>
      <c r="D387" s="27" t="n">
        <v>10</v>
      </c>
      <c r="E387" s="27" t="n">
        <v>19</v>
      </c>
      <c r="F387" s="27" t="n">
        <v>31</v>
      </c>
      <c r="G387" s="27" t="n">
        <v>40</v>
      </c>
      <c r="H387" s="27" t="n">
        <v>26</v>
      </c>
      <c r="J387" s="27">
        <f>SUMPRODUCT(COUNTIFS(확률!$J$2:$J$46, 원본!B387:G387, 확률!$M$2:$M$46, "&lt;=20"))</f>
        <v/>
      </c>
      <c r="K387" s="27">
        <f>SUMPRODUCT(COUNTIFS(확률!$J$2:$J$46, 원본!B387:G387, 확률!$M$2:$M$46, "&gt;=36"))</f>
        <v/>
      </c>
      <c r="L387" s="27">
        <f>6-J387-K387</f>
        <v/>
      </c>
    </row>
    <row r="388" ht="16.5" customHeight="1" s="28">
      <c r="A388" s="31" t="n">
        <v>387</v>
      </c>
      <c r="B388" s="27" t="n">
        <v>1</v>
      </c>
      <c r="C388" s="27" t="n">
        <v>26</v>
      </c>
      <c r="D388" s="27" t="n">
        <v>31</v>
      </c>
      <c r="E388" s="27" t="n">
        <v>34</v>
      </c>
      <c r="F388" s="27" t="n">
        <v>40</v>
      </c>
      <c r="G388" s="27" t="n">
        <v>43</v>
      </c>
      <c r="H388" s="27" t="n">
        <v>20</v>
      </c>
      <c r="J388" s="27">
        <f>SUMPRODUCT(COUNTIFS(확률!$J$2:$J$46, 원본!B388:G388, 확률!$M$2:$M$46, "&lt;=20"))</f>
        <v/>
      </c>
      <c r="K388" s="27">
        <f>SUMPRODUCT(COUNTIFS(확률!$J$2:$J$46, 원본!B388:G388, 확률!$M$2:$M$46, "&gt;=36"))</f>
        <v/>
      </c>
      <c r="L388" s="27">
        <f>6-J388-K388</f>
        <v/>
      </c>
    </row>
    <row r="389" ht="16.5" customHeight="1" s="28">
      <c r="A389" s="31" t="n">
        <v>388</v>
      </c>
      <c r="B389" s="27" t="n">
        <v>1</v>
      </c>
      <c r="C389" s="27" t="n">
        <v>8</v>
      </c>
      <c r="D389" s="27" t="n">
        <v>9</v>
      </c>
      <c r="E389" s="27" t="n">
        <v>17</v>
      </c>
      <c r="F389" s="27" t="n">
        <v>29</v>
      </c>
      <c r="G389" s="27" t="n">
        <v>32</v>
      </c>
      <c r="H389" s="27" t="n">
        <v>45</v>
      </c>
      <c r="J389" s="27">
        <f>SUMPRODUCT(COUNTIFS(확률!$J$2:$J$46, 원본!B389:G389, 확률!$M$2:$M$46, "&lt;=20"))</f>
        <v/>
      </c>
      <c r="K389" s="27">
        <f>SUMPRODUCT(COUNTIFS(확률!$J$2:$J$46, 원본!B389:G389, 확률!$M$2:$M$46, "&gt;=36"))</f>
        <v/>
      </c>
      <c r="L389" s="27">
        <f>6-J389-K389</f>
        <v/>
      </c>
    </row>
    <row r="390" ht="16.5" customHeight="1" s="28">
      <c r="A390" s="31" t="n">
        <v>389</v>
      </c>
      <c r="B390" s="27" t="n">
        <v>7</v>
      </c>
      <c r="C390" s="27" t="n">
        <v>16</v>
      </c>
      <c r="D390" s="27" t="n">
        <v>18</v>
      </c>
      <c r="E390" s="27" t="n">
        <v>20</v>
      </c>
      <c r="F390" s="27" t="n">
        <v>23</v>
      </c>
      <c r="G390" s="27" t="n">
        <v>26</v>
      </c>
      <c r="H390" s="27" t="n">
        <v>3</v>
      </c>
      <c r="J390" s="27">
        <f>SUMPRODUCT(COUNTIFS(확률!$J$2:$J$46, 원본!B390:G390, 확률!$M$2:$M$46, "&lt;=20"))</f>
        <v/>
      </c>
      <c r="K390" s="27">
        <f>SUMPRODUCT(COUNTIFS(확률!$J$2:$J$46, 원본!B390:G390, 확률!$M$2:$M$46, "&gt;=36"))</f>
        <v/>
      </c>
      <c r="L390" s="27">
        <f>6-J390-K390</f>
        <v/>
      </c>
    </row>
    <row r="391" ht="16.5" customHeight="1" s="28">
      <c r="A391" s="31" t="n">
        <v>390</v>
      </c>
      <c r="B391" s="27" t="n">
        <v>16</v>
      </c>
      <c r="C391" s="27" t="n">
        <v>17</v>
      </c>
      <c r="D391" s="27" t="n">
        <v>28</v>
      </c>
      <c r="E391" s="27" t="n">
        <v>37</v>
      </c>
      <c r="F391" s="27" t="n">
        <v>39</v>
      </c>
      <c r="G391" s="27" t="n">
        <v>40</v>
      </c>
      <c r="H391" s="27" t="n">
        <v>15</v>
      </c>
      <c r="J391" s="27">
        <f>SUMPRODUCT(COUNTIFS(확률!$J$2:$J$46, 원본!B391:G391, 확률!$M$2:$M$46, "&lt;=20"))</f>
        <v/>
      </c>
      <c r="K391" s="27">
        <f>SUMPRODUCT(COUNTIFS(확률!$J$2:$J$46, 원본!B391:G391, 확률!$M$2:$M$46, "&gt;=36"))</f>
        <v/>
      </c>
      <c r="L391" s="27">
        <f>6-J391-K391</f>
        <v/>
      </c>
    </row>
    <row r="392" ht="16.5" customHeight="1" s="28">
      <c r="A392" s="31" t="n">
        <v>391</v>
      </c>
      <c r="B392" s="27" t="n">
        <v>10</v>
      </c>
      <c r="C392" s="27" t="n">
        <v>11</v>
      </c>
      <c r="D392" s="27" t="n">
        <v>18</v>
      </c>
      <c r="E392" s="27" t="n">
        <v>22</v>
      </c>
      <c r="F392" s="27" t="n">
        <v>28</v>
      </c>
      <c r="G392" s="27" t="n">
        <v>39</v>
      </c>
      <c r="H392" s="27" t="n">
        <v>30</v>
      </c>
      <c r="J392" s="27">
        <f>SUMPRODUCT(COUNTIFS(확률!$J$2:$J$46, 원본!B392:G392, 확률!$M$2:$M$46, "&lt;=20"))</f>
        <v/>
      </c>
      <c r="K392" s="27">
        <f>SUMPRODUCT(COUNTIFS(확률!$J$2:$J$46, 원본!B392:G392, 확률!$M$2:$M$46, "&gt;=36"))</f>
        <v/>
      </c>
      <c r="L392" s="27">
        <f>6-J392-K392</f>
        <v/>
      </c>
    </row>
    <row r="393" ht="16.5" customHeight="1" s="28">
      <c r="A393" s="31" t="n">
        <v>392</v>
      </c>
      <c r="B393" s="27" t="n">
        <v>1</v>
      </c>
      <c r="C393" s="27" t="n">
        <v>3</v>
      </c>
      <c r="D393" s="27" t="n">
        <v>7</v>
      </c>
      <c r="E393" s="27" t="n">
        <v>8</v>
      </c>
      <c r="F393" s="27" t="n">
        <v>24</v>
      </c>
      <c r="G393" s="27" t="n">
        <v>42</v>
      </c>
      <c r="H393" s="27" t="n">
        <v>43</v>
      </c>
      <c r="J393" s="27">
        <f>SUMPRODUCT(COUNTIFS(확률!$J$2:$J$46, 원본!B393:G393, 확률!$M$2:$M$46, "&lt;=20"))</f>
        <v/>
      </c>
      <c r="K393" s="27">
        <f>SUMPRODUCT(COUNTIFS(확률!$J$2:$J$46, 원본!B393:G393, 확률!$M$2:$M$46, "&gt;=36"))</f>
        <v/>
      </c>
      <c r="L393" s="27">
        <f>6-J393-K393</f>
        <v/>
      </c>
    </row>
    <row r="394" ht="16.5" customHeight="1" s="28">
      <c r="A394" s="31" t="n">
        <v>393</v>
      </c>
      <c r="B394" s="27" t="n">
        <v>9</v>
      </c>
      <c r="C394" s="27" t="n">
        <v>16</v>
      </c>
      <c r="D394" s="27" t="n">
        <v>28</v>
      </c>
      <c r="E394" s="27" t="n">
        <v>40</v>
      </c>
      <c r="F394" s="27" t="n">
        <v>41</v>
      </c>
      <c r="G394" s="27" t="n">
        <v>43</v>
      </c>
      <c r="H394" s="27" t="n">
        <v>21</v>
      </c>
      <c r="J394" s="27">
        <f>SUMPRODUCT(COUNTIFS(확률!$J$2:$J$46, 원본!B394:G394, 확률!$M$2:$M$46, "&lt;=20"))</f>
        <v/>
      </c>
      <c r="K394" s="27">
        <f>SUMPRODUCT(COUNTIFS(확률!$J$2:$J$46, 원본!B394:G394, 확률!$M$2:$M$46, "&gt;=36"))</f>
        <v/>
      </c>
      <c r="L394" s="27">
        <f>6-J394-K394</f>
        <v/>
      </c>
    </row>
    <row r="395" ht="16.5" customHeight="1" s="28">
      <c r="A395" s="31" t="n">
        <v>394</v>
      </c>
      <c r="B395" s="27" t="n">
        <v>1</v>
      </c>
      <c r="C395" s="27" t="n">
        <v>13</v>
      </c>
      <c r="D395" s="27" t="n">
        <v>20</v>
      </c>
      <c r="E395" s="27" t="n">
        <v>22</v>
      </c>
      <c r="F395" s="27" t="n">
        <v>25</v>
      </c>
      <c r="G395" s="27" t="n">
        <v>28</v>
      </c>
      <c r="H395" s="27" t="n">
        <v>15</v>
      </c>
      <c r="J395" s="27">
        <f>SUMPRODUCT(COUNTIFS(확률!$J$2:$J$46, 원본!B395:G395, 확률!$M$2:$M$46, "&lt;=20"))</f>
        <v/>
      </c>
      <c r="K395" s="27">
        <f>SUMPRODUCT(COUNTIFS(확률!$J$2:$J$46, 원본!B395:G395, 확률!$M$2:$M$46, "&gt;=36"))</f>
        <v/>
      </c>
      <c r="L395" s="27">
        <f>6-J395-K395</f>
        <v/>
      </c>
    </row>
    <row r="396" ht="16.5" customHeight="1" s="28">
      <c r="A396" s="31" t="n">
        <v>395</v>
      </c>
      <c r="B396" s="27" t="n">
        <v>11</v>
      </c>
      <c r="C396" s="27" t="n">
        <v>15</v>
      </c>
      <c r="D396" s="27" t="n">
        <v>20</v>
      </c>
      <c r="E396" s="27" t="n">
        <v>26</v>
      </c>
      <c r="F396" s="27" t="n">
        <v>31</v>
      </c>
      <c r="G396" s="27" t="n">
        <v>35</v>
      </c>
      <c r="H396" s="27" t="n">
        <v>7</v>
      </c>
      <c r="J396" s="27">
        <f>SUMPRODUCT(COUNTIFS(확률!$J$2:$J$46, 원본!B396:G396, 확률!$M$2:$M$46, "&lt;=20"))</f>
        <v/>
      </c>
      <c r="K396" s="27">
        <f>SUMPRODUCT(COUNTIFS(확률!$J$2:$J$46, 원본!B396:G396, 확률!$M$2:$M$46, "&gt;=36"))</f>
        <v/>
      </c>
      <c r="L396" s="27">
        <f>6-J396-K396</f>
        <v/>
      </c>
    </row>
    <row r="397" ht="16.5" customHeight="1" s="28">
      <c r="A397" s="31" t="n">
        <v>396</v>
      </c>
      <c r="B397" s="27" t="n">
        <v>18</v>
      </c>
      <c r="C397" s="27" t="n">
        <v>20</v>
      </c>
      <c r="D397" s="27" t="n">
        <v>31</v>
      </c>
      <c r="E397" s="27" t="n">
        <v>34</v>
      </c>
      <c r="F397" s="27" t="n">
        <v>40</v>
      </c>
      <c r="G397" s="27" t="n">
        <v>45</v>
      </c>
      <c r="H397" s="27" t="n">
        <v>30</v>
      </c>
      <c r="J397" s="27">
        <f>SUMPRODUCT(COUNTIFS(확률!$J$2:$J$46, 원본!B397:G397, 확률!$M$2:$M$46, "&lt;=20"))</f>
        <v/>
      </c>
      <c r="K397" s="27">
        <f>SUMPRODUCT(COUNTIFS(확률!$J$2:$J$46, 원본!B397:G397, 확률!$M$2:$M$46, "&gt;=36"))</f>
        <v/>
      </c>
      <c r="L397" s="27">
        <f>6-J397-K397</f>
        <v/>
      </c>
    </row>
    <row r="398" ht="16.5" customHeight="1" s="28">
      <c r="A398" s="31" t="n">
        <v>397</v>
      </c>
      <c r="B398" s="27" t="n">
        <v>12</v>
      </c>
      <c r="C398" s="27" t="n">
        <v>13</v>
      </c>
      <c r="D398" s="27" t="n">
        <v>17</v>
      </c>
      <c r="E398" s="27" t="n">
        <v>22</v>
      </c>
      <c r="F398" s="27" t="n">
        <v>25</v>
      </c>
      <c r="G398" s="27" t="n">
        <v>33</v>
      </c>
      <c r="H398" s="27" t="n">
        <v>8</v>
      </c>
      <c r="J398" s="27">
        <f>SUMPRODUCT(COUNTIFS(확률!$J$2:$J$46, 원본!B398:G398, 확률!$M$2:$M$46, "&lt;=20"))</f>
        <v/>
      </c>
      <c r="K398" s="27">
        <f>SUMPRODUCT(COUNTIFS(확률!$J$2:$J$46, 원본!B398:G398, 확률!$M$2:$M$46, "&gt;=36"))</f>
        <v/>
      </c>
      <c r="L398" s="27">
        <f>6-J398-K398</f>
        <v/>
      </c>
    </row>
    <row r="399" ht="16.5" customHeight="1" s="28">
      <c r="A399" s="31" t="n">
        <v>398</v>
      </c>
      <c r="B399" s="27" t="n">
        <v>10</v>
      </c>
      <c r="C399" s="27" t="n">
        <v>15</v>
      </c>
      <c r="D399" s="27" t="n">
        <v>20</v>
      </c>
      <c r="E399" s="27" t="n">
        <v>23</v>
      </c>
      <c r="F399" s="27" t="n">
        <v>42</v>
      </c>
      <c r="G399" s="27" t="n">
        <v>44</v>
      </c>
      <c r="H399" s="27" t="n">
        <v>7</v>
      </c>
      <c r="J399" s="27">
        <f>SUMPRODUCT(COUNTIFS(확률!$J$2:$J$46, 원본!B399:G399, 확률!$M$2:$M$46, "&lt;=20"))</f>
        <v/>
      </c>
      <c r="K399" s="27">
        <f>SUMPRODUCT(COUNTIFS(확률!$J$2:$J$46, 원본!B399:G399, 확률!$M$2:$M$46, "&gt;=36"))</f>
        <v/>
      </c>
      <c r="L399" s="27">
        <f>6-J399-K399</f>
        <v/>
      </c>
    </row>
    <row r="400" ht="16.5" customHeight="1" s="28">
      <c r="A400" s="31" t="n">
        <v>399</v>
      </c>
      <c r="B400" s="27" t="n">
        <v>1</v>
      </c>
      <c r="C400" s="27" t="n">
        <v>2</v>
      </c>
      <c r="D400" s="27" t="n">
        <v>9</v>
      </c>
      <c r="E400" s="27" t="n">
        <v>17</v>
      </c>
      <c r="F400" s="27" t="n">
        <v>19</v>
      </c>
      <c r="G400" s="27" t="n">
        <v>42</v>
      </c>
      <c r="H400" s="27" t="n">
        <v>20</v>
      </c>
      <c r="J400" s="27">
        <f>SUMPRODUCT(COUNTIFS(확률!$J$2:$J$46, 원본!B400:G400, 확률!$M$2:$M$46, "&lt;=20"))</f>
        <v/>
      </c>
      <c r="K400" s="27">
        <f>SUMPRODUCT(COUNTIFS(확률!$J$2:$J$46, 원본!B400:G400, 확률!$M$2:$M$46, "&gt;=36"))</f>
        <v/>
      </c>
      <c r="L400" s="27">
        <f>6-J400-K400</f>
        <v/>
      </c>
    </row>
    <row r="401" ht="16.5" customHeight="1" s="28">
      <c r="A401" s="31" t="n">
        <v>400</v>
      </c>
      <c r="B401" s="27" t="n">
        <v>9</v>
      </c>
      <c r="C401" s="27" t="n">
        <v>21</v>
      </c>
      <c r="D401" s="27" t="n">
        <v>27</v>
      </c>
      <c r="E401" s="27" t="n">
        <v>34</v>
      </c>
      <c r="F401" s="27" t="n">
        <v>41</v>
      </c>
      <c r="G401" s="27" t="n">
        <v>43</v>
      </c>
      <c r="H401" s="27" t="n">
        <v>2</v>
      </c>
      <c r="J401" s="27">
        <f>SUMPRODUCT(COUNTIFS(확률!$J$2:$J$46, 원본!B401:G401, 확률!$M$2:$M$46, "&lt;=20"))</f>
        <v/>
      </c>
      <c r="K401" s="27">
        <f>SUMPRODUCT(COUNTIFS(확률!$J$2:$J$46, 원본!B401:G401, 확률!$M$2:$M$46, "&gt;=36"))</f>
        <v/>
      </c>
      <c r="L401" s="27">
        <f>6-J401-K401</f>
        <v/>
      </c>
    </row>
    <row r="402" ht="16.5" customHeight="1" s="28">
      <c r="A402" s="31" t="n">
        <v>401</v>
      </c>
      <c r="B402" s="27" t="n">
        <v>6</v>
      </c>
      <c r="C402" s="27" t="n">
        <v>12</v>
      </c>
      <c r="D402" s="27" t="n">
        <v>18</v>
      </c>
      <c r="E402" s="27" t="n">
        <v>31</v>
      </c>
      <c r="F402" s="27" t="n">
        <v>38</v>
      </c>
      <c r="G402" s="27" t="n">
        <v>43</v>
      </c>
      <c r="H402" s="27" t="n">
        <v>9</v>
      </c>
      <c r="J402" s="27">
        <f>SUMPRODUCT(COUNTIFS(확률!$J$2:$J$46, 원본!B402:G402, 확률!$M$2:$M$46, "&lt;=20"))</f>
        <v/>
      </c>
      <c r="K402" s="27">
        <f>SUMPRODUCT(COUNTIFS(확률!$J$2:$J$46, 원본!B402:G402, 확률!$M$2:$M$46, "&gt;=36"))</f>
        <v/>
      </c>
      <c r="L402" s="27">
        <f>6-J402-K402</f>
        <v/>
      </c>
    </row>
    <row r="403" ht="16.5" customHeight="1" s="28">
      <c r="A403" s="31" t="n">
        <v>402</v>
      </c>
      <c r="B403" s="27" t="n">
        <v>5</v>
      </c>
      <c r="C403" s="27" t="n">
        <v>9</v>
      </c>
      <c r="D403" s="27" t="n">
        <v>15</v>
      </c>
      <c r="E403" s="27" t="n">
        <v>19</v>
      </c>
      <c r="F403" s="27" t="n">
        <v>22</v>
      </c>
      <c r="G403" s="27" t="n">
        <v>36</v>
      </c>
      <c r="H403" s="27" t="n">
        <v>32</v>
      </c>
      <c r="J403" s="27">
        <f>SUMPRODUCT(COUNTIFS(확률!$J$2:$J$46, 원본!B403:G403, 확률!$M$2:$M$46, "&lt;=20"))</f>
        <v/>
      </c>
      <c r="K403" s="27">
        <f>SUMPRODUCT(COUNTIFS(확률!$J$2:$J$46, 원본!B403:G403, 확률!$M$2:$M$46, "&gt;=36"))</f>
        <v/>
      </c>
      <c r="L403" s="27">
        <f>6-J403-K403</f>
        <v/>
      </c>
    </row>
    <row r="404" ht="16.5" customHeight="1" s="28">
      <c r="A404" s="31" t="n">
        <v>403</v>
      </c>
      <c r="B404" s="27" t="n">
        <v>10</v>
      </c>
      <c r="C404" s="27" t="n">
        <v>14</v>
      </c>
      <c r="D404" s="27" t="n">
        <v>22</v>
      </c>
      <c r="E404" s="27" t="n">
        <v>24</v>
      </c>
      <c r="F404" s="27" t="n">
        <v>28</v>
      </c>
      <c r="G404" s="27" t="n">
        <v>37</v>
      </c>
      <c r="H404" s="27" t="n">
        <v>26</v>
      </c>
      <c r="J404" s="27">
        <f>SUMPRODUCT(COUNTIFS(확률!$J$2:$J$46, 원본!B404:G404, 확률!$M$2:$M$46, "&lt;=20"))</f>
        <v/>
      </c>
      <c r="K404" s="27">
        <f>SUMPRODUCT(COUNTIFS(확률!$J$2:$J$46, 원본!B404:G404, 확률!$M$2:$M$46, "&gt;=36"))</f>
        <v/>
      </c>
      <c r="L404" s="27">
        <f>6-J404-K404</f>
        <v/>
      </c>
    </row>
    <row r="405" ht="16.5" customHeight="1" s="28">
      <c r="A405" s="31" t="n">
        <v>404</v>
      </c>
      <c r="B405" s="27" t="n">
        <v>5</v>
      </c>
      <c r="C405" s="27" t="n">
        <v>20</v>
      </c>
      <c r="D405" s="27" t="n">
        <v>21</v>
      </c>
      <c r="E405" s="27" t="n">
        <v>24</v>
      </c>
      <c r="F405" s="27" t="n">
        <v>33</v>
      </c>
      <c r="G405" s="27" t="n">
        <v>40</v>
      </c>
      <c r="H405" s="27" t="n">
        <v>36</v>
      </c>
      <c r="J405" s="27">
        <f>SUMPRODUCT(COUNTIFS(확률!$J$2:$J$46, 원본!B405:G405, 확률!$M$2:$M$46, "&lt;=20"))</f>
        <v/>
      </c>
      <c r="K405" s="27">
        <f>SUMPRODUCT(COUNTIFS(확률!$J$2:$J$46, 원본!B405:G405, 확률!$M$2:$M$46, "&gt;=36"))</f>
        <v/>
      </c>
      <c r="L405" s="27">
        <f>6-J405-K405</f>
        <v/>
      </c>
    </row>
    <row r="406" ht="16.5" customHeight="1" s="28">
      <c r="A406" s="31" t="n">
        <v>405</v>
      </c>
      <c r="B406" s="27" t="n">
        <v>1</v>
      </c>
      <c r="C406" s="27" t="n">
        <v>2</v>
      </c>
      <c r="D406" s="27" t="n">
        <v>10</v>
      </c>
      <c r="E406" s="27" t="n">
        <v>25</v>
      </c>
      <c r="F406" s="27" t="n">
        <v>26</v>
      </c>
      <c r="G406" s="27" t="n">
        <v>44</v>
      </c>
      <c r="H406" s="27" t="n">
        <v>4</v>
      </c>
      <c r="J406" s="27">
        <f>SUMPRODUCT(COUNTIFS(확률!$J$2:$J$46, 원본!B406:G406, 확률!$M$2:$M$46, "&lt;=20"))</f>
        <v/>
      </c>
      <c r="K406" s="27">
        <f>SUMPRODUCT(COUNTIFS(확률!$J$2:$J$46, 원본!B406:G406, 확률!$M$2:$M$46, "&gt;=36"))</f>
        <v/>
      </c>
      <c r="L406" s="27">
        <f>6-J406-K406</f>
        <v/>
      </c>
    </row>
    <row r="407" ht="16.5" customHeight="1" s="28">
      <c r="A407" s="31" t="n">
        <v>406</v>
      </c>
      <c r="B407" s="27" t="n">
        <v>7</v>
      </c>
      <c r="C407" s="27" t="n">
        <v>12</v>
      </c>
      <c r="D407" s="27" t="n">
        <v>21</v>
      </c>
      <c r="E407" s="27" t="n">
        <v>24</v>
      </c>
      <c r="F407" s="27" t="n">
        <v>27</v>
      </c>
      <c r="G407" s="27" t="n">
        <v>36</v>
      </c>
      <c r="H407" s="27" t="n">
        <v>45</v>
      </c>
      <c r="J407" s="27">
        <f>SUMPRODUCT(COUNTIFS(확률!$J$2:$J$46, 원본!B407:G407, 확률!$M$2:$M$46, "&lt;=20"))</f>
        <v/>
      </c>
      <c r="K407" s="27">
        <f>SUMPRODUCT(COUNTIFS(확률!$J$2:$J$46, 원본!B407:G407, 확률!$M$2:$M$46, "&gt;=36"))</f>
        <v/>
      </c>
      <c r="L407" s="27">
        <f>6-J407-K407</f>
        <v/>
      </c>
    </row>
    <row r="408" ht="16.5" customHeight="1" s="28">
      <c r="A408" s="31" t="n">
        <v>407</v>
      </c>
      <c r="B408" s="27" t="n">
        <v>6</v>
      </c>
      <c r="C408" s="27" t="n">
        <v>7</v>
      </c>
      <c r="D408" s="27" t="n">
        <v>13</v>
      </c>
      <c r="E408" s="27" t="n">
        <v>16</v>
      </c>
      <c r="F408" s="27" t="n">
        <v>24</v>
      </c>
      <c r="G408" s="27" t="n">
        <v>25</v>
      </c>
      <c r="H408" s="27" t="n">
        <v>1</v>
      </c>
      <c r="J408" s="27">
        <f>SUMPRODUCT(COUNTIFS(확률!$J$2:$J$46, 원본!B408:G408, 확률!$M$2:$M$46, "&lt;=20"))</f>
        <v/>
      </c>
      <c r="K408" s="27">
        <f>SUMPRODUCT(COUNTIFS(확률!$J$2:$J$46, 원본!B408:G408, 확률!$M$2:$M$46, "&gt;=36"))</f>
        <v/>
      </c>
      <c r="L408" s="27">
        <f>6-J408-K408</f>
        <v/>
      </c>
    </row>
    <row r="409" ht="16.5" customHeight="1" s="28">
      <c r="A409" s="31" t="n">
        <v>408</v>
      </c>
      <c r="B409" s="27" t="n">
        <v>9</v>
      </c>
      <c r="C409" s="27" t="n">
        <v>20</v>
      </c>
      <c r="D409" s="27" t="n">
        <v>21</v>
      </c>
      <c r="E409" s="27" t="n">
        <v>22</v>
      </c>
      <c r="F409" s="27" t="n">
        <v>30</v>
      </c>
      <c r="G409" s="27" t="n">
        <v>37</v>
      </c>
      <c r="H409" s="27" t="n">
        <v>16</v>
      </c>
      <c r="J409" s="27">
        <f>SUMPRODUCT(COUNTIFS(확률!$J$2:$J$46, 원본!B409:G409, 확률!$M$2:$M$46, "&lt;=20"))</f>
        <v/>
      </c>
      <c r="K409" s="27">
        <f>SUMPRODUCT(COUNTIFS(확률!$J$2:$J$46, 원본!B409:G409, 확률!$M$2:$M$46, "&gt;=36"))</f>
        <v/>
      </c>
      <c r="L409" s="27">
        <f>6-J409-K409</f>
        <v/>
      </c>
    </row>
    <row r="410" ht="16.5" customHeight="1" s="28">
      <c r="A410" s="31" t="n">
        <v>409</v>
      </c>
      <c r="B410" s="27" t="n">
        <v>6</v>
      </c>
      <c r="C410" s="27" t="n">
        <v>9</v>
      </c>
      <c r="D410" s="27" t="n">
        <v>21</v>
      </c>
      <c r="E410" s="27" t="n">
        <v>31</v>
      </c>
      <c r="F410" s="27" t="n">
        <v>32</v>
      </c>
      <c r="G410" s="27" t="n">
        <v>40</v>
      </c>
      <c r="H410" s="27" t="n">
        <v>38</v>
      </c>
      <c r="J410" s="27">
        <f>SUMPRODUCT(COUNTIFS(확률!$J$2:$J$46, 원본!B410:G410, 확률!$M$2:$M$46, "&lt;=20"))</f>
        <v/>
      </c>
      <c r="K410" s="27">
        <f>SUMPRODUCT(COUNTIFS(확률!$J$2:$J$46, 원본!B410:G410, 확률!$M$2:$M$46, "&gt;=36"))</f>
        <v/>
      </c>
      <c r="L410" s="27">
        <f>6-J410-K410</f>
        <v/>
      </c>
    </row>
    <row r="411" ht="16.5" customHeight="1" s="28">
      <c r="A411" s="31" t="n">
        <v>410</v>
      </c>
      <c r="B411" s="27" t="n">
        <v>1</v>
      </c>
      <c r="C411" s="27" t="n">
        <v>3</v>
      </c>
      <c r="D411" s="27" t="n">
        <v>18</v>
      </c>
      <c r="E411" s="27" t="n">
        <v>32</v>
      </c>
      <c r="F411" s="27" t="n">
        <v>40</v>
      </c>
      <c r="G411" s="27" t="n">
        <v>41</v>
      </c>
      <c r="H411" s="27" t="n">
        <v>16</v>
      </c>
      <c r="J411" s="27">
        <f>SUMPRODUCT(COUNTIFS(확률!$J$2:$J$46, 원본!B411:G411, 확률!$M$2:$M$46, "&lt;=20"))</f>
        <v/>
      </c>
      <c r="K411" s="27">
        <f>SUMPRODUCT(COUNTIFS(확률!$J$2:$J$46, 원본!B411:G411, 확률!$M$2:$M$46, "&gt;=36"))</f>
        <v/>
      </c>
      <c r="L411" s="27">
        <f>6-J411-K411</f>
        <v/>
      </c>
    </row>
    <row r="412" ht="16.5" customHeight="1" s="28">
      <c r="A412" s="31" t="n">
        <v>411</v>
      </c>
      <c r="B412" s="27" t="n">
        <v>11</v>
      </c>
      <c r="C412" s="27" t="n">
        <v>14</v>
      </c>
      <c r="D412" s="27" t="n">
        <v>22</v>
      </c>
      <c r="E412" s="27" t="n">
        <v>35</v>
      </c>
      <c r="F412" s="27" t="n">
        <v>37</v>
      </c>
      <c r="G412" s="27" t="n">
        <v>39</v>
      </c>
      <c r="H412" s="27" t="n">
        <v>5</v>
      </c>
      <c r="J412" s="27">
        <f>SUMPRODUCT(COUNTIFS(확률!$J$2:$J$46, 원본!B412:G412, 확률!$M$2:$M$46, "&lt;=20"))</f>
        <v/>
      </c>
      <c r="K412" s="27">
        <f>SUMPRODUCT(COUNTIFS(확률!$J$2:$J$46, 원본!B412:G412, 확률!$M$2:$M$46, "&gt;=36"))</f>
        <v/>
      </c>
      <c r="L412" s="27">
        <f>6-J412-K412</f>
        <v/>
      </c>
    </row>
    <row r="413" ht="16.5" customHeight="1" s="28">
      <c r="A413" s="31" t="n">
        <v>412</v>
      </c>
      <c r="B413" s="27" t="n">
        <v>4</v>
      </c>
      <c r="C413" s="27" t="n">
        <v>7</v>
      </c>
      <c r="D413" s="27" t="n">
        <v>39</v>
      </c>
      <c r="E413" s="27" t="n">
        <v>41</v>
      </c>
      <c r="F413" s="27" t="n">
        <v>42</v>
      </c>
      <c r="G413" s="27" t="n">
        <v>45</v>
      </c>
      <c r="H413" s="27" t="n">
        <v>40</v>
      </c>
      <c r="J413" s="27">
        <f>SUMPRODUCT(COUNTIFS(확률!$J$2:$J$46, 원본!B413:G413, 확률!$M$2:$M$46, "&lt;=20"))</f>
        <v/>
      </c>
      <c r="K413" s="27">
        <f>SUMPRODUCT(COUNTIFS(확률!$J$2:$J$46, 원본!B413:G413, 확률!$M$2:$M$46, "&gt;=36"))</f>
        <v/>
      </c>
      <c r="L413" s="27">
        <f>6-J413-K413</f>
        <v/>
      </c>
    </row>
    <row r="414" ht="16.5" customHeight="1" s="28">
      <c r="A414" s="31" t="n">
        <v>413</v>
      </c>
      <c r="B414" s="27" t="n">
        <v>2</v>
      </c>
      <c r="C414" s="27" t="n">
        <v>9</v>
      </c>
      <c r="D414" s="27" t="n">
        <v>15</v>
      </c>
      <c r="E414" s="27" t="n">
        <v>23</v>
      </c>
      <c r="F414" s="27" t="n">
        <v>34</v>
      </c>
      <c r="G414" s="27" t="n">
        <v>40</v>
      </c>
      <c r="H414" s="27" t="n">
        <v>3</v>
      </c>
      <c r="J414" s="27">
        <f>SUMPRODUCT(COUNTIFS(확률!$J$2:$J$46, 원본!B414:G414, 확률!$M$2:$M$46, "&lt;=20"))</f>
        <v/>
      </c>
      <c r="K414" s="27">
        <f>SUMPRODUCT(COUNTIFS(확률!$J$2:$J$46, 원본!B414:G414, 확률!$M$2:$M$46, "&gt;=36"))</f>
        <v/>
      </c>
      <c r="L414" s="27">
        <f>6-J414-K414</f>
        <v/>
      </c>
    </row>
    <row r="415" ht="16.5" customHeight="1" s="28">
      <c r="A415" s="31" t="n">
        <v>414</v>
      </c>
      <c r="B415" s="27" t="n">
        <v>2</v>
      </c>
      <c r="C415" s="27" t="n">
        <v>14</v>
      </c>
      <c r="D415" s="27" t="n">
        <v>15</v>
      </c>
      <c r="E415" s="27" t="n">
        <v>22</v>
      </c>
      <c r="F415" s="27" t="n">
        <v>23</v>
      </c>
      <c r="G415" s="27" t="n">
        <v>44</v>
      </c>
      <c r="H415" s="27" t="n">
        <v>43</v>
      </c>
      <c r="J415" s="27">
        <f>SUMPRODUCT(COUNTIFS(확률!$J$2:$J$46, 원본!B415:G415, 확률!$M$2:$M$46, "&lt;=20"))</f>
        <v/>
      </c>
      <c r="K415" s="27">
        <f>SUMPRODUCT(COUNTIFS(확률!$J$2:$J$46, 원본!B415:G415, 확률!$M$2:$M$46, "&gt;=36"))</f>
        <v/>
      </c>
      <c r="L415" s="27">
        <f>6-J415-K415</f>
        <v/>
      </c>
    </row>
    <row r="416" ht="16.5" customHeight="1" s="28">
      <c r="A416" s="31" t="n">
        <v>415</v>
      </c>
      <c r="B416" s="27" t="n">
        <v>7</v>
      </c>
      <c r="C416" s="27" t="n">
        <v>17</v>
      </c>
      <c r="D416" s="27" t="n">
        <v>20</v>
      </c>
      <c r="E416" s="27" t="n">
        <v>26</v>
      </c>
      <c r="F416" s="27" t="n">
        <v>30</v>
      </c>
      <c r="G416" s="27" t="n">
        <v>40</v>
      </c>
      <c r="H416" s="27" t="n">
        <v>24</v>
      </c>
      <c r="J416" s="27">
        <f>SUMPRODUCT(COUNTIFS(확률!$J$2:$J$46, 원본!B416:G416, 확률!$M$2:$M$46, "&lt;=20"))</f>
        <v/>
      </c>
      <c r="K416" s="27">
        <f>SUMPRODUCT(COUNTIFS(확률!$J$2:$J$46, 원본!B416:G416, 확률!$M$2:$M$46, "&gt;=36"))</f>
        <v/>
      </c>
      <c r="L416" s="27">
        <f>6-J416-K416</f>
        <v/>
      </c>
    </row>
    <row r="417" ht="16.5" customHeight="1" s="28">
      <c r="A417" s="31" t="n">
        <v>416</v>
      </c>
      <c r="B417" s="27" t="n">
        <v>5</v>
      </c>
      <c r="C417" s="27" t="n">
        <v>6</v>
      </c>
      <c r="D417" s="27" t="n">
        <v>8</v>
      </c>
      <c r="E417" s="27" t="n">
        <v>11</v>
      </c>
      <c r="F417" s="27" t="n">
        <v>22</v>
      </c>
      <c r="G417" s="27" t="n">
        <v>26</v>
      </c>
      <c r="H417" s="27" t="n">
        <v>44</v>
      </c>
      <c r="J417" s="27">
        <f>SUMPRODUCT(COUNTIFS(확률!$J$2:$J$46, 원본!B417:G417, 확률!$M$2:$M$46, "&lt;=20"))</f>
        <v/>
      </c>
      <c r="K417" s="27">
        <f>SUMPRODUCT(COUNTIFS(확률!$J$2:$J$46, 원본!B417:G417, 확률!$M$2:$M$46, "&gt;=36"))</f>
        <v/>
      </c>
      <c r="L417" s="27">
        <f>6-J417-K417</f>
        <v/>
      </c>
    </row>
    <row r="418" ht="16.5" customHeight="1" s="28">
      <c r="A418" s="31" t="n">
        <v>417</v>
      </c>
      <c r="B418" s="27" t="n">
        <v>4</v>
      </c>
      <c r="C418" s="27" t="n">
        <v>5</v>
      </c>
      <c r="D418" s="27" t="n">
        <v>14</v>
      </c>
      <c r="E418" s="27" t="n">
        <v>20</v>
      </c>
      <c r="F418" s="27" t="n">
        <v>22</v>
      </c>
      <c r="G418" s="27" t="n">
        <v>43</v>
      </c>
      <c r="H418" s="27" t="n">
        <v>44</v>
      </c>
      <c r="J418" s="27">
        <f>SUMPRODUCT(COUNTIFS(확률!$J$2:$J$46, 원본!B418:G418, 확률!$M$2:$M$46, "&lt;=20"))</f>
        <v/>
      </c>
      <c r="K418" s="27">
        <f>SUMPRODUCT(COUNTIFS(확률!$J$2:$J$46, 원본!B418:G418, 확률!$M$2:$M$46, "&gt;=36"))</f>
        <v/>
      </c>
      <c r="L418" s="27">
        <f>6-J418-K418</f>
        <v/>
      </c>
    </row>
    <row r="419" ht="16.5" customHeight="1" s="28">
      <c r="A419" s="31" t="n">
        <v>418</v>
      </c>
      <c r="B419" s="27" t="n">
        <v>11</v>
      </c>
      <c r="C419" s="27" t="n">
        <v>13</v>
      </c>
      <c r="D419" s="27" t="n">
        <v>15</v>
      </c>
      <c r="E419" s="27" t="n">
        <v>26</v>
      </c>
      <c r="F419" s="27" t="n">
        <v>28</v>
      </c>
      <c r="G419" s="27" t="n">
        <v>34</v>
      </c>
      <c r="H419" s="27" t="n">
        <v>31</v>
      </c>
      <c r="J419" s="27">
        <f>SUMPRODUCT(COUNTIFS(확률!$J$2:$J$46, 원본!B419:G419, 확률!$M$2:$M$46, "&lt;=20"))</f>
        <v/>
      </c>
      <c r="K419" s="27">
        <f>SUMPRODUCT(COUNTIFS(확률!$J$2:$J$46, 원본!B419:G419, 확률!$M$2:$M$46, "&gt;=36"))</f>
        <v/>
      </c>
      <c r="L419" s="27">
        <f>6-J419-K419</f>
        <v/>
      </c>
    </row>
    <row r="420" ht="16.5" customHeight="1" s="28">
      <c r="A420" s="31" t="n">
        <v>419</v>
      </c>
      <c r="B420" s="27" t="n">
        <v>2</v>
      </c>
      <c r="C420" s="27" t="n">
        <v>11</v>
      </c>
      <c r="D420" s="27" t="n">
        <v>13</v>
      </c>
      <c r="E420" s="27" t="n">
        <v>14</v>
      </c>
      <c r="F420" s="27" t="n">
        <v>28</v>
      </c>
      <c r="G420" s="27" t="n">
        <v>30</v>
      </c>
      <c r="H420" s="27" t="n">
        <v>7</v>
      </c>
      <c r="J420" s="27">
        <f>SUMPRODUCT(COUNTIFS(확률!$J$2:$J$46, 원본!B420:G420, 확률!$M$2:$M$46, "&lt;=20"))</f>
        <v/>
      </c>
      <c r="K420" s="27">
        <f>SUMPRODUCT(COUNTIFS(확률!$J$2:$J$46, 원본!B420:G420, 확률!$M$2:$M$46, "&gt;=36"))</f>
        <v/>
      </c>
      <c r="L420" s="27">
        <f>6-J420-K420</f>
        <v/>
      </c>
    </row>
    <row r="421" ht="16.5" customHeight="1" s="28">
      <c r="A421" s="31" t="n">
        <v>420</v>
      </c>
      <c r="B421" s="27" t="n">
        <v>4</v>
      </c>
      <c r="C421" s="27" t="n">
        <v>9</v>
      </c>
      <c r="D421" s="27" t="n">
        <v>10</v>
      </c>
      <c r="E421" s="27" t="n">
        <v>29</v>
      </c>
      <c r="F421" s="27" t="n">
        <v>31</v>
      </c>
      <c r="G421" s="27" t="n">
        <v>34</v>
      </c>
      <c r="H421" s="27" t="n">
        <v>27</v>
      </c>
      <c r="J421" s="27">
        <f>SUMPRODUCT(COUNTIFS(확률!$J$2:$J$46, 원본!B421:G421, 확률!$M$2:$M$46, "&lt;=20"))</f>
        <v/>
      </c>
      <c r="K421" s="27">
        <f>SUMPRODUCT(COUNTIFS(확률!$J$2:$J$46, 원본!B421:G421, 확률!$M$2:$M$46, "&gt;=36"))</f>
        <v/>
      </c>
      <c r="L421" s="27">
        <f>6-J421-K421</f>
        <v/>
      </c>
    </row>
    <row r="422" ht="16.5" customHeight="1" s="28">
      <c r="A422" s="31" t="n">
        <v>421</v>
      </c>
      <c r="B422" s="27" t="n">
        <v>6</v>
      </c>
      <c r="C422" s="27" t="n">
        <v>11</v>
      </c>
      <c r="D422" s="27" t="n">
        <v>26</v>
      </c>
      <c r="E422" s="27" t="n">
        <v>27</v>
      </c>
      <c r="F422" s="27" t="n">
        <v>28</v>
      </c>
      <c r="G422" s="27" t="n">
        <v>44</v>
      </c>
      <c r="H422" s="27" t="n">
        <v>30</v>
      </c>
      <c r="J422" s="27">
        <f>SUMPRODUCT(COUNTIFS(확률!$J$2:$J$46, 원본!B422:G422, 확률!$M$2:$M$46, "&lt;=20"))</f>
        <v/>
      </c>
      <c r="K422" s="27">
        <f>SUMPRODUCT(COUNTIFS(확률!$J$2:$J$46, 원본!B422:G422, 확률!$M$2:$M$46, "&gt;=36"))</f>
        <v/>
      </c>
      <c r="L422" s="27">
        <f>6-J422-K422</f>
        <v/>
      </c>
    </row>
    <row r="423" ht="16.5" customHeight="1" s="28">
      <c r="A423" s="31" t="n">
        <v>422</v>
      </c>
      <c r="B423" s="27" t="n">
        <v>8</v>
      </c>
      <c r="C423" s="27" t="n">
        <v>15</v>
      </c>
      <c r="D423" s="27" t="n">
        <v>19</v>
      </c>
      <c r="E423" s="27" t="n">
        <v>21</v>
      </c>
      <c r="F423" s="27" t="n">
        <v>34</v>
      </c>
      <c r="G423" s="27" t="n">
        <v>44</v>
      </c>
      <c r="H423" s="27" t="n">
        <v>12</v>
      </c>
      <c r="J423" s="27">
        <f>SUMPRODUCT(COUNTIFS(확률!$J$2:$J$46, 원본!B423:G423, 확률!$M$2:$M$46, "&lt;=20"))</f>
        <v/>
      </c>
      <c r="K423" s="27">
        <f>SUMPRODUCT(COUNTIFS(확률!$J$2:$J$46, 원본!B423:G423, 확률!$M$2:$M$46, "&gt;=36"))</f>
        <v/>
      </c>
      <c r="L423" s="27">
        <f>6-J423-K423</f>
        <v/>
      </c>
    </row>
    <row r="424" ht="16.5" customHeight="1" s="28">
      <c r="A424" s="31" t="n">
        <v>423</v>
      </c>
      <c r="B424" s="27" t="n">
        <v>1</v>
      </c>
      <c r="C424" s="27" t="n">
        <v>17</v>
      </c>
      <c r="D424" s="27" t="n">
        <v>27</v>
      </c>
      <c r="E424" s="27" t="n">
        <v>28</v>
      </c>
      <c r="F424" s="27" t="n">
        <v>29</v>
      </c>
      <c r="G424" s="27" t="n">
        <v>40</v>
      </c>
      <c r="H424" s="27" t="n">
        <v>5</v>
      </c>
      <c r="J424" s="27">
        <f>SUMPRODUCT(COUNTIFS(확률!$J$2:$J$46, 원본!B424:G424, 확률!$M$2:$M$46, "&lt;=20"))</f>
        <v/>
      </c>
      <c r="K424" s="27">
        <f>SUMPRODUCT(COUNTIFS(확률!$J$2:$J$46, 원본!B424:G424, 확률!$M$2:$M$46, "&gt;=36"))</f>
        <v/>
      </c>
      <c r="L424" s="27">
        <f>6-J424-K424</f>
        <v/>
      </c>
    </row>
    <row r="425" ht="16.5" customHeight="1" s="28">
      <c r="A425" s="31" t="n">
        <v>424</v>
      </c>
      <c r="B425" s="27" t="n">
        <v>10</v>
      </c>
      <c r="C425" s="27" t="n">
        <v>11</v>
      </c>
      <c r="D425" s="27" t="n">
        <v>26</v>
      </c>
      <c r="E425" s="27" t="n">
        <v>31</v>
      </c>
      <c r="F425" s="27" t="n">
        <v>34</v>
      </c>
      <c r="G425" s="27" t="n">
        <v>44</v>
      </c>
      <c r="H425" s="27" t="n">
        <v>30</v>
      </c>
      <c r="J425" s="27">
        <f>SUMPRODUCT(COUNTIFS(확률!$J$2:$J$46, 원본!B425:G425, 확률!$M$2:$M$46, "&lt;=20"))</f>
        <v/>
      </c>
      <c r="K425" s="27">
        <f>SUMPRODUCT(COUNTIFS(확률!$J$2:$J$46, 원본!B425:G425, 확률!$M$2:$M$46, "&gt;=36"))</f>
        <v/>
      </c>
      <c r="L425" s="27">
        <f>6-J425-K425</f>
        <v/>
      </c>
    </row>
    <row r="426" ht="16.5" customHeight="1" s="28">
      <c r="A426" s="31" t="n">
        <v>425</v>
      </c>
      <c r="B426" s="27" t="n">
        <v>8</v>
      </c>
      <c r="C426" s="27" t="n">
        <v>10</v>
      </c>
      <c r="D426" s="27" t="n">
        <v>14</v>
      </c>
      <c r="E426" s="27" t="n">
        <v>27</v>
      </c>
      <c r="F426" s="27" t="n">
        <v>33</v>
      </c>
      <c r="G426" s="27" t="n">
        <v>38</v>
      </c>
      <c r="H426" s="27" t="n">
        <v>3</v>
      </c>
      <c r="J426" s="27">
        <f>SUMPRODUCT(COUNTIFS(확률!$J$2:$J$46, 원본!B426:G426, 확률!$M$2:$M$46, "&lt;=20"))</f>
        <v/>
      </c>
      <c r="K426" s="27">
        <f>SUMPRODUCT(COUNTIFS(확률!$J$2:$J$46, 원본!B426:G426, 확률!$M$2:$M$46, "&gt;=36"))</f>
        <v/>
      </c>
      <c r="L426" s="27">
        <f>6-J426-K426</f>
        <v/>
      </c>
    </row>
    <row r="427" ht="16.5" customHeight="1" s="28">
      <c r="A427" s="31" t="n">
        <v>426</v>
      </c>
      <c r="B427" s="27" t="n">
        <v>4</v>
      </c>
      <c r="C427" s="27" t="n">
        <v>17</v>
      </c>
      <c r="D427" s="27" t="n">
        <v>18</v>
      </c>
      <c r="E427" s="27" t="n">
        <v>27</v>
      </c>
      <c r="F427" s="27" t="n">
        <v>39</v>
      </c>
      <c r="G427" s="27" t="n">
        <v>43</v>
      </c>
      <c r="H427" s="27" t="n">
        <v>19</v>
      </c>
      <c r="J427" s="27">
        <f>SUMPRODUCT(COUNTIFS(확률!$J$2:$J$46, 원본!B427:G427, 확률!$M$2:$M$46, "&lt;=20"))</f>
        <v/>
      </c>
      <c r="K427" s="27">
        <f>SUMPRODUCT(COUNTIFS(확률!$J$2:$J$46, 원본!B427:G427, 확률!$M$2:$M$46, "&gt;=36"))</f>
        <v/>
      </c>
      <c r="L427" s="27">
        <f>6-J427-K427</f>
        <v/>
      </c>
    </row>
    <row r="428" ht="16.5" customHeight="1" s="28">
      <c r="A428" s="31" t="n">
        <v>427</v>
      </c>
      <c r="B428" s="27" t="n">
        <v>6</v>
      </c>
      <c r="C428" s="27" t="n">
        <v>7</v>
      </c>
      <c r="D428" s="27" t="n">
        <v>15</v>
      </c>
      <c r="E428" s="27" t="n">
        <v>24</v>
      </c>
      <c r="F428" s="27" t="n">
        <v>28</v>
      </c>
      <c r="G428" s="27" t="n">
        <v>30</v>
      </c>
      <c r="H428" s="27" t="n">
        <v>21</v>
      </c>
      <c r="J428" s="27">
        <f>SUMPRODUCT(COUNTIFS(확률!$J$2:$J$46, 원본!B428:G428, 확률!$M$2:$M$46, "&lt;=20"))</f>
        <v/>
      </c>
      <c r="K428" s="27">
        <f>SUMPRODUCT(COUNTIFS(확률!$J$2:$J$46, 원본!B428:G428, 확률!$M$2:$M$46, "&gt;=36"))</f>
        <v/>
      </c>
      <c r="L428" s="27">
        <f>6-J428-K428</f>
        <v/>
      </c>
    </row>
    <row r="429" ht="16.5" customHeight="1" s="28">
      <c r="A429" s="31" t="n">
        <v>428</v>
      </c>
      <c r="B429" s="27" t="n">
        <v>12</v>
      </c>
      <c r="C429" s="27" t="n">
        <v>16</v>
      </c>
      <c r="D429" s="27" t="n">
        <v>19</v>
      </c>
      <c r="E429" s="27" t="n">
        <v>22</v>
      </c>
      <c r="F429" s="27" t="n">
        <v>37</v>
      </c>
      <c r="G429" s="27" t="n">
        <v>40</v>
      </c>
      <c r="H429" s="27" t="n">
        <v>8</v>
      </c>
      <c r="J429" s="27">
        <f>SUMPRODUCT(COUNTIFS(확률!$J$2:$J$46, 원본!B429:G429, 확률!$M$2:$M$46, "&lt;=20"))</f>
        <v/>
      </c>
      <c r="K429" s="27">
        <f>SUMPRODUCT(COUNTIFS(확률!$J$2:$J$46, 원본!B429:G429, 확률!$M$2:$M$46, "&gt;=36"))</f>
        <v/>
      </c>
      <c r="L429" s="27">
        <f>6-J429-K429</f>
        <v/>
      </c>
    </row>
    <row r="430" ht="16.5" customHeight="1" s="28">
      <c r="A430" s="31" t="n">
        <v>429</v>
      </c>
      <c r="B430" s="27" t="n">
        <v>3</v>
      </c>
      <c r="C430" s="27" t="n">
        <v>23</v>
      </c>
      <c r="D430" s="27" t="n">
        <v>28</v>
      </c>
      <c r="E430" s="27" t="n">
        <v>34</v>
      </c>
      <c r="F430" s="27" t="n">
        <v>39</v>
      </c>
      <c r="G430" s="27" t="n">
        <v>42</v>
      </c>
      <c r="H430" s="27" t="n">
        <v>16</v>
      </c>
      <c r="J430" s="27">
        <f>SUMPRODUCT(COUNTIFS(확률!$J$2:$J$46, 원본!B430:G430, 확률!$M$2:$M$46, "&lt;=20"))</f>
        <v/>
      </c>
      <c r="K430" s="27">
        <f>SUMPRODUCT(COUNTIFS(확률!$J$2:$J$46, 원본!B430:G430, 확률!$M$2:$M$46, "&gt;=36"))</f>
        <v/>
      </c>
      <c r="L430" s="27">
        <f>6-J430-K430</f>
        <v/>
      </c>
    </row>
    <row r="431" ht="16.5" customHeight="1" s="28">
      <c r="A431" s="31" t="n">
        <v>430</v>
      </c>
      <c r="B431" s="27" t="n">
        <v>1</v>
      </c>
      <c r="C431" s="27" t="n">
        <v>3</v>
      </c>
      <c r="D431" s="27" t="n">
        <v>16</v>
      </c>
      <c r="E431" s="27" t="n">
        <v>18</v>
      </c>
      <c r="F431" s="27" t="n">
        <v>30</v>
      </c>
      <c r="G431" s="27" t="n">
        <v>34</v>
      </c>
      <c r="H431" s="27" t="n">
        <v>44</v>
      </c>
      <c r="J431" s="27">
        <f>SUMPRODUCT(COUNTIFS(확률!$J$2:$J$46, 원본!B431:G431, 확률!$M$2:$M$46, "&lt;=20"))</f>
        <v/>
      </c>
      <c r="K431" s="27">
        <f>SUMPRODUCT(COUNTIFS(확률!$J$2:$J$46, 원본!B431:G431, 확률!$M$2:$M$46, "&gt;=36"))</f>
        <v/>
      </c>
      <c r="L431" s="27">
        <f>6-J431-K431</f>
        <v/>
      </c>
    </row>
    <row r="432" ht="16.5" customHeight="1" s="28">
      <c r="A432" s="31" t="n">
        <v>431</v>
      </c>
      <c r="B432" s="27" t="n">
        <v>18</v>
      </c>
      <c r="C432" s="27" t="n">
        <v>22</v>
      </c>
      <c r="D432" s="27" t="n">
        <v>25</v>
      </c>
      <c r="E432" s="27" t="n">
        <v>31</v>
      </c>
      <c r="F432" s="27" t="n">
        <v>38</v>
      </c>
      <c r="G432" s="27" t="n">
        <v>45</v>
      </c>
      <c r="H432" s="27" t="n">
        <v>6</v>
      </c>
      <c r="J432" s="27">
        <f>SUMPRODUCT(COUNTIFS(확률!$J$2:$J$46, 원본!B432:G432, 확률!$M$2:$M$46, "&lt;=20"))</f>
        <v/>
      </c>
      <c r="K432" s="27">
        <f>SUMPRODUCT(COUNTIFS(확률!$J$2:$J$46, 원본!B432:G432, 확률!$M$2:$M$46, "&gt;=36"))</f>
        <v/>
      </c>
      <c r="L432" s="27">
        <f>6-J432-K432</f>
        <v/>
      </c>
    </row>
    <row r="433" ht="16.5" customHeight="1" s="28">
      <c r="A433" s="31" t="n">
        <v>432</v>
      </c>
      <c r="B433" s="27" t="n">
        <v>2</v>
      </c>
      <c r="C433" s="27" t="n">
        <v>3</v>
      </c>
      <c r="D433" s="27" t="n">
        <v>5</v>
      </c>
      <c r="E433" s="27" t="n">
        <v>11</v>
      </c>
      <c r="F433" s="27" t="n">
        <v>27</v>
      </c>
      <c r="G433" s="27" t="n">
        <v>39</v>
      </c>
      <c r="H433" s="27" t="n">
        <v>33</v>
      </c>
      <c r="J433" s="27">
        <f>SUMPRODUCT(COUNTIFS(확률!$J$2:$J$46, 원본!B433:G433, 확률!$M$2:$M$46, "&lt;=20"))</f>
        <v/>
      </c>
      <c r="K433" s="27">
        <f>SUMPRODUCT(COUNTIFS(확률!$J$2:$J$46, 원본!B433:G433, 확률!$M$2:$M$46, "&gt;=36"))</f>
        <v/>
      </c>
      <c r="L433" s="27">
        <f>6-J433-K433</f>
        <v/>
      </c>
    </row>
    <row r="434" ht="16.5" customHeight="1" s="28">
      <c r="A434" s="31" t="n">
        <v>433</v>
      </c>
      <c r="B434" s="27" t="n">
        <v>19</v>
      </c>
      <c r="C434" s="27" t="n">
        <v>23</v>
      </c>
      <c r="D434" s="27" t="n">
        <v>29</v>
      </c>
      <c r="E434" s="27" t="n">
        <v>33</v>
      </c>
      <c r="F434" s="27" t="n">
        <v>35</v>
      </c>
      <c r="G434" s="27" t="n">
        <v>43</v>
      </c>
      <c r="H434" s="27" t="n">
        <v>27</v>
      </c>
      <c r="J434" s="27">
        <f>SUMPRODUCT(COUNTIFS(확률!$J$2:$J$46, 원본!B434:G434, 확률!$M$2:$M$46, "&lt;=20"))</f>
        <v/>
      </c>
      <c r="K434" s="27">
        <f>SUMPRODUCT(COUNTIFS(확률!$J$2:$J$46, 원본!B434:G434, 확률!$M$2:$M$46, "&gt;=36"))</f>
        <v/>
      </c>
      <c r="L434" s="27">
        <f>6-J434-K434</f>
        <v/>
      </c>
    </row>
    <row r="435" ht="16.5" customHeight="1" s="28">
      <c r="A435" s="31" t="n">
        <v>434</v>
      </c>
      <c r="B435" s="27" t="n">
        <v>3</v>
      </c>
      <c r="C435" s="27" t="n">
        <v>13</v>
      </c>
      <c r="D435" s="27" t="n">
        <v>20</v>
      </c>
      <c r="E435" s="27" t="n">
        <v>24</v>
      </c>
      <c r="F435" s="27" t="n">
        <v>33</v>
      </c>
      <c r="G435" s="27" t="n">
        <v>37</v>
      </c>
      <c r="H435" s="27" t="n">
        <v>35</v>
      </c>
      <c r="J435" s="27">
        <f>SUMPRODUCT(COUNTIFS(확률!$J$2:$J$46, 원본!B435:G435, 확률!$M$2:$M$46, "&lt;=20"))</f>
        <v/>
      </c>
      <c r="K435" s="27">
        <f>SUMPRODUCT(COUNTIFS(확률!$J$2:$J$46, 원본!B435:G435, 확률!$M$2:$M$46, "&gt;=36"))</f>
        <v/>
      </c>
      <c r="L435" s="27">
        <f>6-J435-K435</f>
        <v/>
      </c>
    </row>
    <row r="436" ht="16.5" customHeight="1" s="28">
      <c r="A436" s="31" t="n">
        <v>435</v>
      </c>
      <c r="B436" s="27" t="n">
        <v>8</v>
      </c>
      <c r="C436" s="27" t="n">
        <v>16</v>
      </c>
      <c r="D436" s="27" t="n">
        <v>26</v>
      </c>
      <c r="E436" s="27" t="n">
        <v>30</v>
      </c>
      <c r="F436" s="27" t="n">
        <v>38</v>
      </c>
      <c r="G436" s="27" t="n">
        <v>45</v>
      </c>
      <c r="H436" s="27" t="n">
        <v>42</v>
      </c>
      <c r="J436" s="27">
        <f>SUMPRODUCT(COUNTIFS(확률!$J$2:$J$46, 원본!B436:G436, 확률!$M$2:$M$46, "&lt;=20"))</f>
        <v/>
      </c>
      <c r="K436" s="27">
        <f>SUMPRODUCT(COUNTIFS(확률!$J$2:$J$46, 원본!B436:G436, 확률!$M$2:$M$46, "&gt;=36"))</f>
        <v/>
      </c>
      <c r="L436" s="27">
        <f>6-J436-K436</f>
        <v/>
      </c>
    </row>
    <row r="437" ht="16.5" customHeight="1" s="28">
      <c r="A437" s="31" t="n">
        <v>436</v>
      </c>
      <c r="B437" s="27" t="n">
        <v>9</v>
      </c>
      <c r="C437" s="27" t="n">
        <v>14</v>
      </c>
      <c r="D437" s="27" t="n">
        <v>20</v>
      </c>
      <c r="E437" s="27" t="n">
        <v>22</v>
      </c>
      <c r="F437" s="27" t="n">
        <v>33</v>
      </c>
      <c r="G437" s="27" t="n">
        <v>34</v>
      </c>
      <c r="H437" s="27" t="n">
        <v>28</v>
      </c>
      <c r="J437" s="27">
        <f>SUMPRODUCT(COUNTIFS(확률!$J$2:$J$46, 원본!B437:G437, 확률!$M$2:$M$46, "&lt;=20"))</f>
        <v/>
      </c>
      <c r="K437" s="27">
        <f>SUMPRODUCT(COUNTIFS(확률!$J$2:$J$46, 원본!B437:G437, 확률!$M$2:$M$46, "&gt;=36"))</f>
        <v/>
      </c>
      <c r="L437" s="27">
        <f>6-J437-K437</f>
        <v/>
      </c>
    </row>
    <row r="438" ht="16.5" customHeight="1" s="28">
      <c r="A438" s="31" t="n">
        <v>437</v>
      </c>
      <c r="B438" s="27" t="n">
        <v>11</v>
      </c>
      <c r="C438" s="27" t="n">
        <v>16</v>
      </c>
      <c r="D438" s="27" t="n">
        <v>29</v>
      </c>
      <c r="E438" s="27" t="n">
        <v>38</v>
      </c>
      <c r="F438" s="27" t="n">
        <v>41</v>
      </c>
      <c r="G438" s="27" t="n">
        <v>44</v>
      </c>
      <c r="H438" s="27" t="n">
        <v>21</v>
      </c>
      <c r="J438" s="27">
        <f>SUMPRODUCT(COUNTIFS(확률!$J$2:$J$46, 원본!B438:G438, 확률!$M$2:$M$46, "&lt;=20"))</f>
        <v/>
      </c>
      <c r="K438" s="27">
        <f>SUMPRODUCT(COUNTIFS(확률!$J$2:$J$46, 원본!B438:G438, 확률!$M$2:$M$46, "&gt;=36"))</f>
        <v/>
      </c>
      <c r="L438" s="27">
        <f>6-J438-K438</f>
        <v/>
      </c>
    </row>
    <row r="439" ht="16.5" customHeight="1" s="28">
      <c r="A439" s="31" t="n">
        <v>438</v>
      </c>
      <c r="B439" s="27" t="n">
        <v>6</v>
      </c>
      <c r="C439" s="27" t="n">
        <v>12</v>
      </c>
      <c r="D439" s="27" t="n">
        <v>20</v>
      </c>
      <c r="E439" s="27" t="n">
        <v>26</v>
      </c>
      <c r="F439" s="27" t="n">
        <v>29</v>
      </c>
      <c r="G439" s="27" t="n">
        <v>38</v>
      </c>
      <c r="H439" s="27" t="n">
        <v>45</v>
      </c>
      <c r="J439" s="27">
        <f>SUMPRODUCT(COUNTIFS(확률!$J$2:$J$46, 원본!B439:G439, 확률!$M$2:$M$46, "&lt;=20"))</f>
        <v/>
      </c>
      <c r="K439" s="27">
        <f>SUMPRODUCT(COUNTIFS(확률!$J$2:$J$46, 원본!B439:G439, 확률!$M$2:$M$46, "&gt;=36"))</f>
        <v/>
      </c>
      <c r="L439" s="27">
        <f>6-J439-K439</f>
        <v/>
      </c>
    </row>
    <row r="440" ht="16.5" customHeight="1" s="28">
      <c r="A440" s="31" t="n">
        <v>439</v>
      </c>
      <c r="B440" s="27" t="n">
        <v>17</v>
      </c>
      <c r="C440" s="27" t="n">
        <v>20</v>
      </c>
      <c r="D440" s="27" t="n">
        <v>30</v>
      </c>
      <c r="E440" s="27" t="n">
        <v>31</v>
      </c>
      <c r="F440" s="27" t="n">
        <v>37</v>
      </c>
      <c r="G440" s="27" t="n">
        <v>40</v>
      </c>
      <c r="H440" s="27" t="n">
        <v>25</v>
      </c>
      <c r="J440" s="27">
        <f>SUMPRODUCT(COUNTIFS(확률!$J$2:$J$46, 원본!B440:G440, 확률!$M$2:$M$46, "&lt;=20"))</f>
        <v/>
      </c>
      <c r="K440" s="27">
        <f>SUMPRODUCT(COUNTIFS(확률!$J$2:$J$46, 원본!B440:G440, 확률!$M$2:$M$46, "&gt;=36"))</f>
        <v/>
      </c>
      <c r="L440" s="27">
        <f>6-J440-K440</f>
        <v/>
      </c>
    </row>
    <row r="441" ht="16.5" customHeight="1" s="28">
      <c r="A441" s="31" t="n">
        <v>440</v>
      </c>
      <c r="B441" s="27" t="n">
        <v>10</v>
      </c>
      <c r="C441" s="27" t="n">
        <v>22</v>
      </c>
      <c r="D441" s="27" t="n">
        <v>28</v>
      </c>
      <c r="E441" s="27" t="n">
        <v>34</v>
      </c>
      <c r="F441" s="27" t="n">
        <v>36</v>
      </c>
      <c r="G441" s="27" t="n">
        <v>44</v>
      </c>
      <c r="H441" s="27" t="n">
        <v>2</v>
      </c>
      <c r="J441" s="27">
        <f>SUMPRODUCT(COUNTIFS(확률!$J$2:$J$46, 원본!B441:G441, 확률!$M$2:$M$46, "&lt;=20"))</f>
        <v/>
      </c>
      <c r="K441" s="27">
        <f>SUMPRODUCT(COUNTIFS(확률!$J$2:$J$46, 원본!B441:G441, 확률!$M$2:$M$46, "&gt;=36"))</f>
        <v/>
      </c>
      <c r="L441" s="27">
        <f>6-J441-K441</f>
        <v/>
      </c>
    </row>
    <row r="442" ht="16.5" customHeight="1" s="28">
      <c r="A442" s="31" t="n">
        <v>441</v>
      </c>
      <c r="B442" s="27" t="n">
        <v>1</v>
      </c>
      <c r="C442" s="27" t="n">
        <v>23</v>
      </c>
      <c r="D442" s="27" t="n">
        <v>28</v>
      </c>
      <c r="E442" s="27" t="n">
        <v>30</v>
      </c>
      <c r="F442" s="27" t="n">
        <v>34</v>
      </c>
      <c r="G442" s="27" t="n">
        <v>35</v>
      </c>
      <c r="H442" s="27" t="n">
        <v>9</v>
      </c>
      <c r="J442" s="27">
        <f>SUMPRODUCT(COUNTIFS(확률!$J$2:$J$46, 원본!B442:G442, 확률!$M$2:$M$46, "&lt;=20"))</f>
        <v/>
      </c>
      <c r="K442" s="27">
        <f>SUMPRODUCT(COUNTIFS(확률!$J$2:$J$46, 원본!B442:G442, 확률!$M$2:$M$46, "&gt;=36"))</f>
        <v/>
      </c>
      <c r="L442" s="27">
        <f>6-J442-K442</f>
        <v/>
      </c>
    </row>
    <row r="443" ht="16.5" customHeight="1" s="28">
      <c r="A443" s="31" t="n">
        <v>442</v>
      </c>
      <c r="B443" s="27" t="n">
        <v>25</v>
      </c>
      <c r="C443" s="27" t="n">
        <v>27</v>
      </c>
      <c r="D443" s="27" t="n">
        <v>29</v>
      </c>
      <c r="E443" s="27" t="n">
        <v>36</v>
      </c>
      <c r="F443" s="27" t="n">
        <v>38</v>
      </c>
      <c r="G443" s="27" t="n">
        <v>40</v>
      </c>
      <c r="H443" s="27" t="n">
        <v>41</v>
      </c>
      <c r="J443" s="27">
        <f>SUMPRODUCT(COUNTIFS(확률!$J$2:$J$46, 원본!B443:G443, 확률!$M$2:$M$46, "&lt;=20"))</f>
        <v/>
      </c>
      <c r="K443" s="27">
        <f>SUMPRODUCT(COUNTIFS(확률!$J$2:$J$46, 원본!B443:G443, 확률!$M$2:$M$46, "&gt;=36"))</f>
        <v/>
      </c>
      <c r="L443" s="27">
        <f>6-J443-K443</f>
        <v/>
      </c>
    </row>
    <row r="444" ht="16.5" customHeight="1" s="28">
      <c r="A444" s="31" t="n">
        <v>443</v>
      </c>
      <c r="B444" s="27" t="n">
        <v>4</v>
      </c>
      <c r="C444" s="27" t="n">
        <v>6</v>
      </c>
      <c r="D444" s="27" t="n">
        <v>10</v>
      </c>
      <c r="E444" s="27" t="n">
        <v>19</v>
      </c>
      <c r="F444" s="27" t="n">
        <v>20</v>
      </c>
      <c r="G444" s="27" t="n">
        <v>44</v>
      </c>
      <c r="H444" s="27" t="n">
        <v>14</v>
      </c>
      <c r="J444" s="27">
        <f>SUMPRODUCT(COUNTIFS(확률!$J$2:$J$46, 원본!B444:G444, 확률!$M$2:$M$46, "&lt;=20"))</f>
        <v/>
      </c>
      <c r="K444" s="27">
        <f>SUMPRODUCT(COUNTIFS(확률!$J$2:$J$46, 원본!B444:G444, 확률!$M$2:$M$46, "&gt;=36"))</f>
        <v/>
      </c>
      <c r="L444" s="27">
        <f>6-J444-K444</f>
        <v/>
      </c>
    </row>
    <row r="445" ht="16.5" customHeight="1" s="28">
      <c r="A445" s="31" t="n">
        <v>444</v>
      </c>
      <c r="B445" s="27" t="n">
        <v>11</v>
      </c>
      <c r="C445" s="27" t="n">
        <v>13</v>
      </c>
      <c r="D445" s="27" t="n">
        <v>23</v>
      </c>
      <c r="E445" s="27" t="n">
        <v>35</v>
      </c>
      <c r="F445" s="27" t="n">
        <v>43</v>
      </c>
      <c r="G445" s="27" t="n">
        <v>45</v>
      </c>
      <c r="H445" s="27" t="n">
        <v>17</v>
      </c>
      <c r="J445" s="27">
        <f>SUMPRODUCT(COUNTIFS(확률!$J$2:$J$46, 원본!B445:G445, 확률!$M$2:$M$46, "&lt;=20"))</f>
        <v/>
      </c>
      <c r="K445" s="27">
        <f>SUMPRODUCT(COUNTIFS(확률!$J$2:$J$46, 원본!B445:G445, 확률!$M$2:$M$46, "&gt;=36"))</f>
        <v/>
      </c>
      <c r="L445" s="27">
        <f>6-J445-K445</f>
        <v/>
      </c>
    </row>
    <row r="446" ht="16.5" customHeight="1" s="28">
      <c r="A446" s="31" t="n">
        <v>445</v>
      </c>
      <c r="B446" s="27" t="n">
        <v>13</v>
      </c>
      <c r="C446" s="27" t="n">
        <v>20</v>
      </c>
      <c r="D446" s="27" t="n">
        <v>21</v>
      </c>
      <c r="E446" s="27" t="n">
        <v>30</v>
      </c>
      <c r="F446" s="27" t="n">
        <v>39</v>
      </c>
      <c r="G446" s="27" t="n">
        <v>45</v>
      </c>
      <c r="H446" s="27" t="n">
        <v>32</v>
      </c>
      <c r="J446" s="27">
        <f>SUMPRODUCT(COUNTIFS(확률!$J$2:$J$46, 원본!B446:G446, 확률!$M$2:$M$46, "&lt;=20"))</f>
        <v/>
      </c>
      <c r="K446" s="27">
        <f>SUMPRODUCT(COUNTIFS(확률!$J$2:$J$46, 원본!B446:G446, 확률!$M$2:$M$46, "&gt;=36"))</f>
        <v/>
      </c>
      <c r="L446" s="27">
        <f>6-J446-K446</f>
        <v/>
      </c>
    </row>
    <row r="447" ht="16.5" customHeight="1" s="28">
      <c r="A447" s="31" t="n">
        <v>446</v>
      </c>
      <c r="B447" s="27" t="n">
        <v>1</v>
      </c>
      <c r="C447" s="27" t="n">
        <v>11</v>
      </c>
      <c r="D447" s="27" t="n">
        <v>12</v>
      </c>
      <c r="E447" s="27" t="n">
        <v>14</v>
      </c>
      <c r="F447" s="27" t="n">
        <v>26</v>
      </c>
      <c r="G447" s="27" t="n">
        <v>35</v>
      </c>
      <c r="H447" s="27" t="n">
        <v>6</v>
      </c>
      <c r="J447" s="27">
        <f>SUMPRODUCT(COUNTIFS(확률!$J$2:$J$46, 원본!B447:G447, 확률!$M$2:$M$46, "&lt;=20"))</f>
        <v/>
      </c>
      <c r="K447" s="27">
        <f>SUMPRODUCT(COUNTIFS(확률!$J$2:$J$46, 원본!B447:G447, 확률!$M$2:$M$46, "&gt;=36"))</f>
        <v/>
      </c>
      <c r="L447" s="27">
        <f>6-J447-K447</f>
        <v/>
      </c>
    </row>
    <row r="448" ht="16.5" customHeight="1" s="28">
      <c r="A448" s="31" t="n">
        <v>447</v>
      </c>
      <c r="B448" s="27" t="n">
        <v>2</v>
      </c>
      <c r="C448" s="27" t="n">
        <v>7</v>
      </c>
      <c r="D448" s="27" t="n">
        <v>8</v>
      </c>
      <c r="E448" s="27" t="n">
        <v>9</v>
      </c>
      <c r="F448" s="27" t="n">
        <v>17</v>
      </c>
      <c r="G448" s="27" t="n">
        <v>33</v>
      </c>
      <c r="H448" s="27" t="n">
        <v>34</v>
      </c>
      <c r="J448" s="27">
        <f>SUMPRODUCT(COUNTIFS(확률!$J$2:$J$46, 원본!B448:G448, 확률!$M$2:$M$46, "&lt;=20"))</f>
        <v/>
      </c>
      <c r="K448" s="27">
        <f>SUMPRODUCT(COUNTIFS(확률!$J$2:$J$46, 원본!B448:G448, 확률!$M$2:$M$46, "&gt;=36"))</f>
        <v/>
      </c>
      <c r="L448" s="27">
        <f>6-J448-K448</f>
        <v/>
      </c>
    </row>
    <row r="449" ht="16.5" customHeight="1" s="28">
      <c r="A449" s="31" t="n">
        <v>448</v>
      </c>
      <c r="B449" s="27" t="n">
        <v>3</v>
      </c>
      <c r="C449" s="27" t="n">
        <v>7</v>
      </c>
      <c r="D449" s="27" t="n">
        <v>13</v>
      </c>
      <c r="E449" s="27" t="n">
        <v>27</v>
      </c>
      <c r="F449" s="27" t="n">
        <v>40</v>
      </c>
      <c r="G449" s="27" t="n">
        <v>41</v>
      </c>
      <c r="H449" s="27" t="n">
        <v>36</v>
      </c>
      <c r="J449" s="27">
        <f>SUMPRODUCT(COUNTIFS(확률!$J$2:$J$46, 원본!B449:G449, 확률!$M$2:$M$46, "&lt;=20"))</f>
        <v/>
      </c>
      <c r="K449" s="27">
        <f>SUMPRODUCT(COUNTIFS(확률!$J$2:$J$46, 원본!B449:G449, 확률!$M$2:$M$46, "&gt;=36"))</f>
        <v/>
      </c>
      <c r="L449" s="27">
        <f>6-J449-K449</f>
        <v/>
      </c>
    </row>
    <row r="450" ht="16.5" customHeight="1" s="28">
      <c r="A450" s="31" t="n">
        <v>449</v>
      </c>
      <c r="B450" s="27" t="n">
        <v>3</v>
      </c>
      <c r="C450" s="27" t="n">
        <v>10</v>
      </c>
      <c r="D450" s="27" t="n">
        <v>20</v>
      </c>
      <c r="E450" s="27" t="n">
        <v>26</v>
      </c>
      <c r="F450" s="27" t="n">
        <v>35</v>
      </c>
      <c r="G450" s="27" t="n">
        <v>43</v>
      </c>
      <c r="H450" s="27" t="n">
        <v>36</v>
      </c>
      <c r="J450" s="27">
        <f>SUMPRODUCT(COUNTIFS(확률!$J$2:$J$46, 원본!B450:G450, 확률!$M$2:$M$46, "&lt;=20"))</f>
        <v/>
      </c>
      <c r="K450" s="27">
        <f>SUMPRODUCT(COUNTIFS(확률!$J$2:$J$46, 원본!B450:G450, 확률!$M$2:$M$46, "&gt;=36"))</f>
        <v/>
      </c>
      <c r="L450" s="27">
        <f>6-J450-K450</f>
        <v/>
      </c>
    </row>
    <row r="451" ht="16.5" customHeight="1" s="28">
      <c r="A451" s="31" t="n">
        <v>450</v>
      </c>
      <c r="B451" s="27" t="n">
        <v>6</v>
      </c>
      <c r="C451" s="27" t="n">
        <v>14</v>
      </c>
      <c r="D451" s="27" t="n">
        <v>19</v>
      </c>
      <c r="E451" s="27" t="n">
        <v>21</v>
      </c>
      <c r="F451" s="27" t="n">
        <v>23</v>
      </c>
      <c r="G451" s="27" t="n">
        <v>31</v>
      </c>
      <c r="H451" s="27" t="n">
        <v>13</v>
      </c>
      <c r="J451" s="27">
        <f>SUMPRODUCT(COUNTIFS(확률!$J$2:$J$46, 원본!B451:G451, 확률!$M$2:$M$46, "&lt;=20"))</f>
        <v/>
      </c>
      <c r="K451" s="27">
        <f>SUMPRODUCT(COUNTIFS(확률!$J$2:$J$46, 원본!B451:G451, 확률!$M$2:$M$46, "&gt;=36"))</f>
        <v/>
      </c>
      <c r="L451" s="27">
        <f>6-J451-K451</f>
        <v/>
      </c>
    </row>
    <row r="452" ht="16.5" customHeight="1" s="28">
      <c r="A452" s="31" t="n">
        <v>451</v>
      </c>
      <c r="B452" s="27" t="n">
        <v>12</v>
      </c>
      <c r="C452" s="27" t="n">
        <v>15</v>
      </c>
      <c r="D452" s="27" t="n">
        <v>20</v>
      </c>
      <c r="E452" s="27" t="n">
        <v>24</v>
      </c>
      <c r="F452" s="27" t="n">
        <v>30</v>
      </c>
      <c r="G452" s="27" t="n">
        <v>38</v>
      </c>
      <c r="H452" s="27" t="n">
        <v>29</v>
      </c>
      <c r="J452" s="27">
        <f>SUMPRODUCT(COUNTIFS(확률!$J$2:$J$46, 원본!B452:G452, 확률!$M$2:$M$46, "&lt;=20"))</f>
        <v/>
      </c>
      <c r="K452" s="27">
        <f>SUMPRODUCT(COUNTIFS(확률!$J$2:$J$46, 원본!B452:G452, 확률!$M$2:$M$46, "&gt;=36"))</f>
        <v/>
      </c>
      <c r="L452" s="27">
        <f>6-J452-K452</f>
        <v/>
      </c>
    </row>
    <row r="453" ht="16.5" customHeight="1" s="28">
      <c r="A453" s="31" t="n">
        <v>452</v>
      </c>
      <c r="B453" s="27" t="n">
        <v>8</v>
      </c>
      <c r="C453" s="27" t="n">
        <v>10</v>
      </c>
      <c r="D453" s="27" t="n">
        <v>18</v>
      </c>
      <c r="E453" s="27" t="n">
        <v>30</v>
      </c>
      <c r="F453" s="27" t="n">
        <v>32</v>
      </c>
      <c r="G453" s="27" t="n">
        <v>34</v>
      </c>
      <c r="H453" s="27" t="n">
        <v>27</v>
      </c>
      <c r="J453" s="27">
        <f>SUMPRODUCT(COUNTIFS(확률!$J$2:$J$46, 원본!B453:G453, 확률!$M$2:$M$46, "&lt;=20"))</f>
        <v/>
      </c>
      <c r="K453" s="27">
        <f>SUMPRODUCT(COUNTIFS(확률!$J$2:$J$46, 원본!B453:G453, 확률!$M$2:$M$46, "&gt;=36"))</f>
        <v/>
      </c>
      <c r="L453" s="27">
        <f>6-J453-K453</f>
        <v/>
      </c>
    </row>
    <row r="454" ht="16.5" customHeight="1" s="28">
      <c r="A454" s="31" t="n">
        <v>453</v>
      </c>
      <c r="B454" s="27" t="n">
        <v>12</v>
      </c>
      <c r="C454" s="27" t="n">
        <v>24</v>
      </c>
      <c r="D454" s="27" t="n">
        <v>33</v>
      </c>
      <c r="E454" s="27" t="n">
        <v>38</v>
      </c>
      <c r="F454" s="27" t="n">
        <v>40</v>
      </c>
      <c r="G454" s="27" t="n">
        <v>42</v>
      </c>
      <c r="H454" s="27" t="n">
        <v>30</v>
      </c>
      <c r="J454" s="27">
        <f>SUMPRODUCT(COUNTIFS(확률!$J$2:$J$46, 원본!B454:G454, 확률!$M$2:$M$46, "&lt;=20"))</f>
        <v/>
      </c>
      <c r="K454" s="27">
        <f>SUMPRODUCT(COUNTIFS(확률!$J$2:$J$46, 원본!B454:G454, 확률!$M$2:$M$46, "&gt;=36"))</f>
        <v/>
      </c>
      <c r="L454" s="27">
        <f>6-J454-K454</f>
        <v/>
      </c>
    </row>
    <row r="455" ht="16.5" customHeight="1" s="28">
      <c r="A455" s="31" t="n">
        <v>454</v>
      </c>
      <c r="B455" s="27" t="n">
        <v>13</v>
      </c>
      <c r="C455" s="27" t="n">
        <v>25</v>
      </c>
      <c r="D455" s="27" t="n">
        <v>27</v>
      </c>
      <c r="E455" s="27" t="n">
        <v>34</v>
      </c>
      <c r="F455" s="27" t="n">
        <v>38</v>
      </c>
      <c r="G455" s="27" t="n">
        <v>41</v>
      </c>
      <c r="H455" s="27" t="n">
        <v>10</v>
      </c>
      <c r="J455" s="27">
        <f>SUMPRODUCT(COUNTIFS(확률!$J$2:$J$46, 원본!B455:G455, 확률!$M$2:$M$46, "&lt;=20"))</f>
        <v/>
      </c>
      <c r="K455" s="27">
        <f>SUMPRODUCT(COUNTIFS(확률!$J$2:$J$46, 원본!B455:G455, 확률!$M$2:$M$46, "&gt;=36"))</f>
        <v/>
      </c>
      <c r="L455" s="27">
        <f>6-J455-K455</f>
        <v/>
      </c>
    </row>
    <row r="456" ht="16.5" customHeight="1" s="28">
      <c r="A456" s="31" t="n">
        <v>455</v>
      </c>
      <c r="B456" s="27" t="n">
        <v>4</v>
      </c>
      <c r="C456" s="27" t="n">
        <v>19</v>
      </c>
      <c r="D456" s="27" t="n">
        <v>25</v>
      </c>
      <c r="E456" s="27" t="n">
        <v>26</v>
      </c>
      <c r="F456" s="27" t="n">
        <v>30</v>
      </c>
      <c r="G456" s="27" t="n">
        <v>35</v>
      </c>
      <c r="H456" s="27" t="n">
        <v>24</v>
      </c>
      <c r="J456" s="27">
        <f>SUMPRODUCT(COUNTIFS(확률!$J$2:$J$46, 원본!B456:G456, 확률!$M$2:$M$46, "&lt;=20"))</f>
        <v/>
      </c>
      <c r="K456" s="27">
        <f>SUMPRODUCT(COUNTIFS(확률!$J$2:$J$46, 원본!B456:G456, 확률!$M$2:$M$46, "&gt;=36"))</f>
        <v/>
      </c>
      <c r="L456" s="27">
        <f>6-J456-K456</f>
        <v/>
      </c>
    </row>
    <row r="457" ht="16.5" customHeight="1" s="28">
      <c r="A457" s="31" t="n">
        <v>456</v>
      </c>
      <c r="B457" s="27" t="n">
        <v>1</v>
      </c>
      <c r="C457" s="27" t="n">
        <v>7</v>
      </c>
      <c r="D457" s="27" t="n">
        <v>12</v>
      </c>
      <c r="E457" s="27" t="n">
        <v>18</v>
      </c>
      <c r="F457" s="27" t="n">
        <v>23</v>
      </c>
      <c r="G457" s="27" t="n">
        <v>27</v>
      </c>
      <c r="H457" s="27" t="n">
        <v>44</v>
      </c>
      <c r="J457" s="27">
        <f>SUMPRODUCT(COUNTIFS(확률!$J$2:$J$46, 원본!B457:G457, 확률!$M$2:$M$46, "&lt;=20"))</f>
        <v/>
      </c>
      <c r="K457" s="27">
        <f>SUMPRODUCT(COUNTIFS(확률!$J$2:$J$46, 원본!B457:G457, 확률!$M$2:$M$46, "&gt;=36"))</f>
        <v/>
      </c>
      <c r="L457" s="27">
        <f>6-J457-K457</f>
        <v/>
      </c>
    </row>
    <row r="458" ht="16.5" customHeight="1" s="28">
      <c r="A458" s="31" t="n">
        <v>457</v>
      </c>
      <c r="B458" s="27" t="n">
        <v>8</v>
      </c>
      <c r="C458" s="27" t="n">
        <v>10</v>
      </c>
      <c r="D458" s="27" t="n">
        <v>18</v>
      </c>
      <c r="E458" s="27" t="n">
        <v>23</v>
      </c>
      <c r="F458" s="27" t="n">
        <v>27</v>
      </c>
      <c r="G458" s="27" t="n">
        <v>40</v>
      </c>
      <c r="H458" s="27" t="n">
        <v>33</v>
      </c>
      <c r="J458" s="27">
        <f>SUMPRODUCT(COUNTIFS(확률!$J$2:$J$46, 원본!B458:G458, 확률!$M$2:$M$46, "&lt;=20"))</f>
        <v/>
      </c>
      <c r="K458" s="27">
        <f>SUMPRODUCT(COUNTIFS(확률!$J$2:$J$46, 원본!B458:G458, 확률!$M$2:$M$46, "&gt;=36"))</f>
        <v/>
      </c>
      <c r="L458" s="27">
        <f>6-J458-K458</f>
        <v/>
      </c>
    </row>
    <row r="459" ht="16.5" customHeight="1" s="28">
      <c r="A459" s="31" t="n">
        <v>458</v>
      </c>
      <c r="B459" s="27" t="n">
        <v>4</v>
      </c>
      <c r="C459" s="27" t="n">
        <v>9</v>
      </c>
      <c r="D459" s="27" t="n">
        <v>10</v>
      </c>
      <c r="E459" s="27" t="n">
        <v>32</v>
      </c>
      <c r="F459" s="27" t="n">
        <v>36</v>
      </c>
      <c r="G459" s="27" t="n">
        <v>40</v>
      </c>
      <c r="H459" s="27" t="n">
        <v>18</v>
      </c>
      <c r="J459" s="27">
        <f>SUMPRODUCT(COUNTIFS(확률!$J$2:$J$46, 원본!B459:G459, 확률!$M$2:$M$46, "&lt;=20"))</f>
        <v/>
      </c>
      <c r="K459" s="27">
        <f>SUMPRODUCT(COUNTIFS(확률!$J$2:$J$46, 원본!B459:G459, 확률!$M$2:$M$46, "&gt;=36"))</f>
        <v/>
      </c>
      <c r="L459" s="27">
        <f>6-J459-K459</f>
        <v/>
      </c>
    </row>
    <row r="460" ht="16.5" customHeight="1" s="28">
      <c r="A460" s="31" t="n">
        <v>459</v>
      </c>
      <c r="B460" s="27" t="n">
        <v>4</v>
      </c>
      <c r="C460" s="27" t="n">
        <v>6</v>
      </c>
      <c r="D460" s="27" t="n">
        <v>10</v>
      </c>
      <c r="E460" s="27" t="n">
        <v>14</v>
      </c>
      <c r="F460" s="27" t="n">
        <v>25</v>
      </c>
      <c r="G460" s="27" t="n">
        <v>40</v>
      </c>
      <c r="H460" s="27" t="n">
        <v>12</v>
      </c>
      <c r="J460" s="27">
        <f>SUMPRODUCT(COUNTIFS(확률!$J$2:$J$46, 원본!B460:G460, 확률!$M$2:$M$46, "&lt;=20"))</f>
        <v/>
      </c>
      <c r="K460" s="27">
        <f>SUMPRODUCT(COUNTIFS(확률!$J$2:$J$46, 원본!B460:G460, 확률!$M$2:$M$46, "&gt;=36"))</f>
        <v/>
      </c>
      <c r="L460" s="27">
        <f>6-J460-K460</f>
        <v/>
      </c>
    </row>
    <row r="461" ht="16.5" customHeight="1" s="28">
      <c r="A461" s="31" t="n">
        <v>460</v>
      </c>
      <c r="B461" s="27" t="n">
        <v>8</v>
      </c>
      <c r="C461" s="27" t="n">
        <v>11</v>
      </c>
      <c r="D461" s="27" t="n">
        <v>28</v>
      </c>
      <c r="E461" s="27" t="n">
        <v>30</v>
      </c>
      <c r="F461" s="27" t="n">
        <v>43</v>
      </c>
      <c r="G461" s="27" t="n">
        <v>45</v>
      </c>
      <c r="H461" s="27" t="n">
        <v>41</v>
      </c>
      <c r="J461" s="27">
        <f>SUMPRODUCT(COUNTIFS(확률!$J$2:$J$46, 원본!B461:G461, 확률!$M$2:$M$46, "&lt;=20"))</f>
        <v/>
      </c>
      <c r="K461" s="27">
        <f>SUMPRODUCT(COUNTIFS(확률!$J$2:$J$46, 원본!B461:G461, 확률!$M$2:$M$46, "&gt;=36"))</f>
        <v/>
      </c>
      <c r="L461" s="27">
        <f>6-J461-K461</f>
        <v/>
      </c>
    </row>
    <row r="462" ht="16.5" customHeight="1" s="28">
      <c r="A462" s="31" t="n">
        <v>461</v>
      </c>
      <c r="B462" s="27" t="n">
        <v>11</v>
      </c>
      <c r="C462" s="27" t="n">
        <v>18</v>
      </c>
      <c r="D462" s="27" t="n">
        <v>26</v>
      </c>
      <c r="E462" s="27" t="n">
        <v>31</v>
      </c>
      <c r="F462" s="27" t="n">
        <v>37</v>
      </c>
      <c r="G462" s="27" t="n">
        <v>40</v>
      </c>
      <c r="H462" s="27" t="n">
        <v>43</v>
      </c>
      <c r="J462" s="27">
        <f>SUMPRODUCT(COUNTIFS(확률!$J$2:$J$46, 원본!B462:G462, 확률!$M$2:$M$46, "&lt;=20"))</f>
        <v/>
      </c>
      <c r="K462" s="27">
        <f>SUMPRODUCT(COUNTIFS(확률!$J$2:$J$46, 원본!B462:G462, 확률!$M$2:$M$46, "&gt;=36"))</f>
        <v/>
      </c>
      <c r="L462" s="27">
        <f>6-J462-K462</f>
        <v/>
      </c>
    </row>
    <row r="463" ht="16.5" customHeight="1" s="28">
      <c r="A463" s="31" t="n">
        <v>462</v>
      </c>
      <c r="B463" s="27" t="n">
        <v>3</v>
      </c>
      <c r="C463" s="27" t="n">
        <v>20</v>
      </c>
      <c r="D463" s="27" t="n">
        <v>24</v>
      </c>
      <c r="E463" s="27" t="n">
        <v>32</v>
      </c>
      <c r="F463" s="27" t="n">
        <v>37</v>
      </c>
      <c r="G463" s="27" t="n">
        <v>45</v>
      </c>
      <c r="H463" s="27" t="n">
        <v>4</v>
      </c>
      <c r="J463" s="27">
        <f>SUMPRODUCT(COUNTIFS(확률!$J$2:$J$46, 원본!B463:G463, 확률!$M$2:$M$46, "&lt;=20"))</f>
        <v/>
      </c>
      <c r="K463" s="27">
        <f>SUMPRODUCT(COUNTIFS(확률!$J$2:$J$46, 원본!B463:G463, 확률!$M$2:$M$46, "&gt;=36"))</f>
        <v/>
      </c>
      <c r="L463" s="27">
        <f>6-J463-K463</f>
        <v/>
      </c>
    </row>
    <row r="464" ht="16.5" customHeight="1" s="28">
      <c r="A464" s="31" t="n">
        <v>463</v>
      </c>
      <c r="B464" s="27" t="n">
        <v>23</v>
      </c>
      <c r="C464" s="27" t="n">
        <v>29</v>
      </c>
      <c r="D464" s="27" t="n">
        <v>31</v>
      </c>
      <c r="E464" s="27" t="n">
        <v>33</v>
      </c>
      <c r="F464" s="27" t="n">
        <v>34</v>
      </c>
      <c r="G464" s="27" t="n">
        <v>44</v>
      </c>
      <c r="H464" s="27" t="n">
        <v>40</v>
      </c>
      <c r="J464" s="27">
        <f>SUMPRODUCT(COUNTIFS(확률!$J$2:$J$46, 원본!B464:G464, 확률!$M$2:$M$46, "&lt;=20"))</f>
        <v/>
      </c>
      <c r="K464" s="27">
        <f>SUMPRODUCT(COUNTIFS(확률!$J$2:$J$46, 원본!B464:G464, 확률!$M$2:$M$46, "&gt;=36"))</f>
        <v/>
      </c>
      <c r="L464" s="27">
        <f>6-J464-K464</f>
        <v/>
      </c>
    </row>
    <row r="465" ht="16.5" customHeight="1" s="28">
      <c r="A465" s="31" t="n">
        <v>464</v>
      </c>
      <c r="B465" s="27" t="n">
        <v>6</v>
      </c>
      <c r="C465" s="27" t="n">
        <v>12</v>
      </c>
      <c r="D465" s="27" t="n">
        <v>15</v>
      </c>
      <c r="E465" s="27" t="n">
        <v>34</v>
      </c>
      <c r="F465" s="27" t="n">
        <v>42</v>
      </c>
      <c r="G465" s="27" t="n">
        <v>44</v>
      </c>
      <c r="H465" s="27" t="n">
        <v>4</v>
      </c>
      <c r="J465" s="27">
        <f>SUMPRODUCT(COUNTIFS(확률!$J$2:$J$46, 원본!B465:G465, 확률!$M$2:$M$46, "&lt;=20"))</f>
        <v/>
      </c>
      <c r="K465" s="27">
        <f>SUMPRODUCT(COUNTIFS(확률!$J$2:$J$46, 원본!B465:G465, 확률!$M$2:$M$46, "&gt;=36"))</f>
        <v/>
      </c>
      <c r="L465" s="27">
        <f>6-J465-K465</f>
        <v/>
      </c>
    </row>
    <row r="466" ht="16.5" customHeight="1" s="28">
      <c r="A466" s="31" t="n">
        <v>465</v>
      </c>
      <c r="B466" s="27" t="n">
        <v>1</v>
      </c>
      <c r="C466" s="27" t="n">
        <v>8</v>
      </c>
      <c r="D466" s="27" t="n">
        <v>11</v>
      </c>
      <c r="E466" s="27" t="n">
        <v>13</v>
      </c>
      <c r="F466" s="27" t="n">
        <v>22</v>
      </c>
      <c r="G466" s="27" t="n">
        <v>38</v>
      </c>
      <c r="H466" s="27" t="n">
        <v>31</v>
      </c>
      <c r="J466" s="27">
        <f>SUMPRODUCT(COUNTIFS(확률!$J$2:$J$46, 원본!B466:G466, 확률!$M$2:$M$46, "&lt;=20"))</f>
        <v/>
      </c>
      <c r="K466" s="27">
        <f>SUMPRODUCT(COUNTIFS(확률!$J$2:$J$46, 원본!B466:G466, 확률!$M$2:$M$46, "&gt;=36"))</f>
        <v/>
      </c>
      <c r="L466" s="27">
        <f>6-J466-K466</f>
        <v/>
      </c>
    </row>
    <row r="467" ht="16.5" customHeight="1" s="28">
      <c r="A467" s="31" t="n">
        <v>466</v>
      </c>
      <c r="B467" s="27" t="n">
        <v>4</v>
      </c>
      <c r="C467" s="27" t="n">
        <v>10</v>
      </c>
      <c r="D467" s="27" t="n">
        <v>13</v>
      </c>
      <c r="E467" s="27" t="n">
        <v>23</v>
      </c>
      <c r="F467" s="27" t="n">
        <v>32</v>
      </c>
      <c r="G467" s="27" t="n">
        <v>44</v>
      </c>
      <c r="H467" s="27" t="n">
        <v>20</v>
      </c>
      <c r="J467" s="27">
        <f>SUMPRODUCT(COUNTIFS(확률!$J$2:$J$46, 원본!B467:G467, 확률!$M$2:$M$46, "&lt;=20"))</f>
        <v/>
      </c>
      <c r="K467" s="27">
        <f>SUMPRODUCT(COUNTIFS(확률!$J$2:$J$46, 원본!B467:G467, 확률!$M$2:$M$46, "&gt;=36"))</f>
        <v/>
      </c>
      <c r="L467" s="27">
        <f>6-J467-K467</f>
        <v/>
      </c>
    </row>
    <row r="468" ht="16.5" customHeight="1" s="28">
      <c r="A468" s="31" t="n">
        <v>467</v>
      </c>
      <c r="B468" s="27" t="n">
        <v>2</v>
      </c>
      <c r="C468" s="27" t="n">
        <v>12</v>
      </c>
      <c r="D468" s="27" t="n">
        <v>14</v>
      </c>
      <c r="E468" s="27" t="n">
        <v>17</v>
      </c>
      <c r="F468" s="27" t="n">
        <v>24</v>
      </c>
      <c r="G468" s="27" t="n">
        <v>40</v>
      </c>
      <c r="H468" s="27" t="n">
        <v>39</v>
      </c>
      <c r="J468" s="27">
        <f>SUMPRODUCT(COUNTIFS(확률!$J$2:$J$46, 원본!B468:G468, 확률!$M$2:$M$46, "&lt;=20"))</f>
        <v/>
      </c>
      <c r="K468" s="27">
        <f>SUMPRODUCT(COUNTIFS(확률!$J$2:$J$46, 원본!B468:G468, 확률!$M$2:$M$46, "&gt;=36"))</f>
        <v/>
      </c>
      <c r="L468" s="27">
        <f>6-J468-K468</f>
        <v/>
      </c>
    </row>
    <row r="469" ht="16.5" customHeight="1" s="28">
      <c r="A469" s="31" t="n">
        <v>468</v>
      </c>
      <c r="B469" s="27" t="n">
        <v>8</v>
      </c>
      <c r="C469" s="27" t="n">
        <v>13</v>
      </c>
      <c r="D469" s="27" t="n">
        <v>15</v>
      </c>
      <c r="E469" s="27" t="n">
        <v>28</v>
      </c>
      <c r="F469" s="27" t="n">
        <v>37</v>
      </c>
      <c r="G469" s="27" t="n">
        <v>43</v>
      </c>
      <c r="H469" s="27" t="n">
        <v>17</v>
      </c>
      <c r="J469" s="27">
        <f>SUMPRODUCT(COUNTIFS(확률!$J$2:$J$46, 원본!B469:G469, 확률!$M$2:$M$46, "&lt;=20"))</f>
        <v/>
      </c>
      <c r="K469" s="27">
        <f>SUMPRODUCT(COUNTIFS(확률!$J$2:$J$46, 원본!B469:G469, 확률!$M$2:$M$46, "&gt;=36"))</f>
        <v/>
      </c>
      <c r="L469" s="27">
        <f>6-J469-K469</f>
        <v/>
      </c>
    </row>
    <row r="470" ht="16.5" customHeight="1" s="28">
      <c r="A470" s="31" t="n">
        <v>469</v>
      </c>
      <c r="B470" s="27" t="n">
        <v>4</v>
      </c>
      <c r="C470" s="27" t="n">
        <v>21</v>
      </c>
      <c r="D470" s="27" t="n">
        <v>22</v>
      </c>
      <c r="E470" s="27" t="n">
        <v>34</v>
      </c>
      <c r="F470" s="27" t="n">
        <v>37</v>
      </c>
      <c r="G470" s="27" t="n">
        <v>38</v>
      </c>
      <c r="H470" s="27" t="n">
        <v>33</v>
      </c>
      <c r="J470" s="27">
        <f>SUMPRODUCT(COUNTIFS(확률!$J$2:$J$46, 원본!B470:G470, 확률!$M$2:$M$46, "&lt;=20"))</f>
        <v/>
      </c>
      <c r="K470" s="27">
        <f>SUMPRODUCT(COUNTIFS(확률!$J$2:$J$46, 원본!B470:G470, 확률!$M$2:$M$46, "&gt;=36"))</f>
        <v/>
      </c>
      <c r="L470" s="27">
        <f>6-J470-K470</f>
        <v/>
      </c>
    </row>
    <row r="471" ht="16.5" customHeight="1" s="28">
      <c r="A471" s="31" t="n">
        <v>470</v>
      </c>
      <c r="B471" s="27" t="n">
        <v>10</v>
      </c>
      <c r="C471" s="27" t="n">
        <v>16</v>
      </c>
      <c r="D471" s="27" t="n">
        <v>20</v>
      </c>
      <c r="E471" s="27" t="n">
        <v>39</v>
      </c>
      <c r="F471" s="27" t="n">
        <v>41</v>
      </c>
      <c r="G471" s="27" t="n">
        <v>42</v>
      </c>
      <c r="H471" s="27" t="n">
        <v>27</v>
      </c>
      <c r="J471" s="27">
        <f>SUMPRODUCT(COUNTIFS(확률!$J$2:$J$46, 원본!B471:G471, 확률!$M$2:$M$46, "&lt;=20"))</f>
        <v/>
      </c>
      <c r="K471" s="27">
        <f>SUMPRODUCT(COUNTIFS(확률!$J$2:$J$46, 원본!B471:G471, 확률!$M$2:$M$46, "&gt;=36"))</f>
        <v/>
      </c>
      <c r="L471" s="27">
        <f>6-J471-K471</f>
        <v/>
      </c>
    </row>
    <row r="472" ht="16.5" customHeight="1" s="28">
      <c r="A472" s="31" t="n">
        <v>471</v>
      </c>
      <c r="B472" s="27" t="n">
        <v>6</v>
      </c>
      <c r="C472" s="27" t="n">
        <v>13</v>
      </c>
      <c r="D472" s="27" t="n">
        <v>29</v>
      </c>
      <c r="E472" s="27" t="n">
        <v>37</v>
      </c>
      <c r="F472" s="27" t="n">
        <v>39</v>
      </c>
      <c r="G472" s="27" t="n">
        <v>41</v>
      </c>
      <c r="H472" s="27" t="n">
        <v>43</v>
      </c>
      <c r="J472" s="27">
        <f>SUMPRODUCT(COUNTIFS(확률!$J$2:$J$46, 원본!B472:G472, 확률!$M$2:$M$46, "&lt;=20"))</f>
        <v/>
      </c>
      <c r="K472" s="27">
        <f>SUMPRODUCT(COUNTIFS(확률!$J$2:$J$46, 원본!B472:G472, 확률!$M$2:$M$46, "&gt;=36"))</f>
        <v/>
      </c>
      <c r="L472" s="27">
        <f>6-J472-K472</f>
        <v/>
      </c>
    </row>
    <row r="473" ht="16.5" customHeight="1" s="28">
      <c r="A473" s="31" t="n">
        <v>472</v>
      </c>
      <c r="B473" s="27" t="n">
        <v>16</v>
      </c>
      <c r="C473" s="27" t="n">
        <v>25</v>
      </c>
      <c r="D473" s="27" t="n">
        <v>26</v>
      </c>
      <c r="E473" s="27" t="n">
        <v>31</v>
      </c>
      <c r="F473" s="27" t="n">
        <v>36</v>
      </c>
      <c r="G473" s="27" t="n">
        <v>43</v>
      </c>
      <c r="H473" s="27" t="n">
        <v>44</v>
      </c>
      <c r="J473" s="27">
        <f>SUMPRODUCT(COUNTIFS(확률!$J$2:$J$46, 원본!B473:G473, 확률!$M$2:$M$46, "&lt;=20"))</f>
        <v/>
      </c>
      <c r="K473" s="27">
        <f>SUMPRODUCT(COUNTIFS(확률!$J$2:$J$46, 원본!B473:G473, 확률!$M$2:$M$46, "&gt;=36"))</f>
        <v/>
      </c>
      <c r="L473" s="27">
        <f>6-J473-K473</f>
        <v/>
      </c>
    </row>
    <row r="474" ht="16.5" customHeight="1" s="28">
      <c r="A474" s="31" t="n">
        <v>473</v>
      </c>
      <c r="B474" s="27" t="n">
        <v>8</v>
      </c>
      <c r="C474" s="27" t="n">
        <v>13</v>
      </c>
      <c r="D474" s="27" t="n">
        <v>20</v>
      </c>
      <c r="E474" s="27" t="n">
        <v>22</v>
      </c>
      <c r="F474" s="27" t="n">
        <v>23</v>
      </c>
      <c r="G474" s="27" t="n">
        <v>36</v>
      </c>
      <c r="H474" s="27" t="n">
        <v>34</v>
      </c>
      <c r="J474" s="27">
        <f>SUMPRODUCT(COUNTIFS(확률!$J$2:$J$46, 원본!B474:G474, 확률!$M$2:$M$46, "&lt;=20"))</f>
        <v/>
      </c>
      <c r="K474" s="27">
        <f>SUMPRODUCT(COUNTIFS(확률!$J$2:$J$46, 원본!B474:G474, 확률!$M$2:$M$46, "&gt;=36"))</f>
        <v/>
      </c>
      <c r="L474" s="27">
        <f>6-J474-K474</f>
        <v/>
      </c>
    </row>
    <row r="475" ht="16.5" customHeight="1" s="28">
      <c r="A475" s="31" t="n">
        <v>474</v>
      </c>
      <c r="B475" s="27" t="n">
        <v>4</v>
      </c>
      <c r="C475" s="27" t="n">
        <v>13</v>
      </c>
      <c r="D475" s="27" t="n">
        <v>18</v>
      </c>
      <c r="E475" s="27" t="n">
        <v>31</v>
      </c>
      <c r="F475" s="27" t="n">
        <v>33</v>
      </c>
      <c r="G475" s="27" t="n">
        <v>45</v>
      </c>
      <c r="H475" s="27" t="n">
        <v>43</v>
      </c>
      <c r="J475" s="27">
        <f>SUMPRODUCT(COUNTIFS(확률!$J$2:$J$46, 원본!B475:G475, 확률!$M$2:$M$46, "&lt;=20"))</f>
        <v/>
      </c>
      <c r="K475" s="27">
        <f>SUMPRODUCT(COUNTIFS(확률!$J$2:$J$46, 원본!B475:G475, 확률!$M$2:$M$46, "&gt;=36"))</f>
        <v/>
      </c>
      <c r="L475" s="27">
        <f>6-J475-K475</f>
        <v/>
      </c>
    </row>
    <row r="476" ht="16.5" customHeight="1" s="28">
      <c r="A476" s="31" t="n">
        <v>475</v>
      </c>
      <c r="B476" s="27" t="n">
        <v>1</v>
      </c>
      <c r="C476" s="27" t="n">
        <v>9</v>
      </c>
      <c r="D476" s="27" t="n">
        <v>14</v>
      </c>
      <c r="E476" s="27" t="n">
        <v>16</v>
      </c>
      <c r="F476" s="27" t="n">
        <v>21</v>
      </c>
      <c r="G476" s="27" t="n">
        <v>29</v>
      </c>
      <c r="H476" s="27" t="n">
        <v>3</v>
      </c>
      <c r="J476" s="27">
        <f>SUMPRODUCT(COUNTIFS(확률!$J$2:$J$46, 원본!B476:G476, 확률!$M$2:$M$46, "&lt;=20"))</f>
        <v/>
      </c>
      <c r="K476" s="27">
        <f>SUMPRODUCT(COUNTIFS(확률!$J$2:$J$46, 원본!B476:G476, 확률!$M$2:$M$46, "&gt;=36"))</f>
        <v/>
      </c>
      <c r="L476" s="27">
        <f>6-J476-K476</f>
        <v/>
      </c>
    </row>
    <row r="477" ht="16.5" customHeight="1" s="28">
      <c r="A477" s="31" t="n">
        <v>476</v>
      </c>
      <c r="B477" s="27" t="n">
        <v>9</v>
      </c>
      <c r="C477" s="27" t="n">
        <v>12</v>
      </c>
      <c r="D477" s="27" t="n">
        <v>13</v>
      </c>
      <c r="E477" s="27" t="n">
        <v>15</v>
      </c>
      <c r="F477" s="27" t="n">
        <v>37</v>
      </c>
      <c r="G477" s="27" t="n">
        <v>38</v>
      </c>
      <c r="H477" s="27" t="n">
        <v>27</v>
      </c>
      <c r="J477" s="27">
        <f>SUMPRODUCT(COUNTIFS(확률!$J$2:$J$46, 원본!B477:G477, 확률!$M$2:$M$46, "&lt;=20"))</f>
        <v/>
      </c>
      <c r="K477" s="27">
        <f>SUMPRODUCT(COUNTIFS(확률!$J$2:$J$46, 원본!B477:G477, 확률!$M$2:$M$46, "&gt;=36"))</f>
        <v/>
      </c>
      <c r="L477" s="27">
        <f>6-J477-K477</f>
        <v/>
      </c>
    </row>
    <row r="478" ht="16.5" customHeight="1" s="28">
      <c r="A478" s="31" t="n">
        <v>477</v>
      </c>
      <c r="B478" s="27" t="n">
        <v>14</v>
      </c>
      <c r="C478" s="27" t="n">
        <v>25</v>
      </c>
      <c r="D478" s="27" t="n">
        <v>29</v>
      </c>
      <c r="E478" s="27" t="n">
        <v>32</v>
      </c>
      <c r="F478" s="27" t="n">
        <v>33</v>
      </c>
      <c r="G478" s="27" t="n">
        <v>45</v>
      </c>
      <c r="H478" s="27" t="n">
        <v>37</v>
      </c>
      <c r="J478" s="27">
        <f>SUMPRODUCT(COUNTIFS(확률!$J$2:$J$46, 원본!B478:G478, 확률!$M$2:$M$46, "&lt;=20"))</f>
        <v/>
      </c>
      <c r="K478" s="27">
        <f>SUMPRODUCT(COUNTIFS(확률!$J$2:$J$46, 원본!B478:G478, 확률!$M$2:$M$46, "&gt;=36"))</f>
        <v/>
      </c>
      <c r="L478" s="27">
        <f>6-J478-K478</f>
        <v/>
      </c>
    </row>
    <row r="479" ht="16.5" customHeight="1" s="28">
      <c r="A479" s="31" t="n">
        <v>478</v>
      </c>
      <c r="B479" s="27" t="n">
        <v>18</v>
      </c>
      <c r="C479" s="27" t="n">
        <v>29</v>
      </c>
      <c r="D479" s="27" t="n">
        <v>30</v>
      </c>
      <c r="E479" s="27" t="n">
        <v>37</v>
      </c>
      <c r="F479" s="27" t="n">
        <v>39</v>
      </c>
      <c r="G479" s="27" t="n">
        <v>43</v>
      </c>
      <c r="H479" s="27" t="n">
        <v>8</v>
      </c>
      <c r="J479" s="27">
        <f>SUMPRODUCT(COUNTIFS(확률!$J$2:$J$46, 원본!B479:G479, 확률!$M$2:$M$46, "&lt;=20"))</f>
        <v/>
      </c>
      <c r="K479" s="27">
        <f>SUMPRODUCT(COUNTIFS(확률!$J$2:$J$46, 원본!B479:G479, 확률!$M$2:$M$46, "&gt;=36"))</f>
        <v/>
      </c>
      <c r="L479" s="27">
        <f>6-J479-K479</f>
        <v/>
      </c>
    </row>
    <row r="480" ht="16.5" customHeight="1" s="28">
      <c r="A480" s="31" t="n">
        <v>479</v>
      </c>
      <c r="B480" s="27" t="n">
        <v>8</v>
      </c>
      <c r="C480" s="27" t="n">
        <v>23</v>
      </c>
      <c r="D480" s="27" t="n">
        <v>25</v>
      </c>
      <c r="E480" s="27" t="n">
        <v>27</v>
      </c>
      <c r="F480" s="27" t="n">
        <v>35</v>
      </c>
      <c r="G480" s="27" t="n">
        <v>44</v>
      </c>
      <c r="H480" s="27" t="n">
        <v>24</v>
      </c>
      <c r="J480" s="27">
        <f>SUMPRODUCT(COUNTIFS(확률!$J$2:$J$46, 원본!B480:G480, 확률!$M$2:$M$46, "&lt;=20"))</f>
        <v/>
      </c>
      <c r="K480" s="27">
        <f>SUMPRODUCT(COUNTIFS(확률!$J$2:$J$46, 원본!B480:G480, 확률!$M$2:$M$46, "&gt;=36"))</f>
        <v/>
      </c>
      <c r="L480" s="27">
        <f>6-J480-K480</f>
        <v/>
      </c>
    </row>
    <row r="481" ht="16.5" customHeight="1" s="28">
      <c r="A481" s="31" t="n">
        <v>480</v>
      </c>
      <c r="B481" s="27" t="n">
        <v>3</v>
      </c>
      <c r="C481" s="27" t="n">
        <v>5</v>
      </c>
      <c r="D481" s="27" t="n">
        <v>10</v>
      </c>
      <c r="E481" s="27" t="n">
        <v>17</v>
      </c>
      <c r="F481" s="27" t="n">
        <v>30</v>
      </c>
      <c r="G481" s="27" t="n">
        <v>31</v>
      </c>
      <c r="H481" s="27" t="n">
        <v>16</v>
      </c>
      <c r="J481" s="27">
        <f>SUMPRODUCT(COUNTIFS(확률!$J$2:$J$46, 원본!B481:G481, 확률!$M$2:$M$46, "&lt;=20"))</f>
        <v/>
      </c>
      <c r="K481" s="27">
        <f>SUMPRODUCT(COUNTIFS(확률!$J$2:$J$46, 원본!B481:G481, 확률!$M$2:$M$46, "&gt;=36"))</f>
        <v/>
      </c>
      <c r="L481" s="27">
        <f>6-J481-K481</f>
        <v/>
      </c>
    </row>
    <row r="482" ht="16.5" customHeight="1" s="28">
      <c r="A482" s="31" t="n">
        <v>481</v>
      </c>
      <c r="B482" s="27" t="n">
        <v>3</v>
      </c>
      <c r="C482" s="27" t="n">
        <v>4</v>
      </c>
      <c r="D482" s="27" t="n">
        <v>23</v>
      </c>
      <c r="E482" s="27" t="n">
        <v>29</v>
      </c>
      <c r="F482" s="27" t="n">
        <v>40</v>
      </c>
      <c r="G482" s="27" t="n">
        <v>41</v>
      </c>
      <c r="H482" s="27" t="n">
        <v>20</v>
      </c>
      <c r="J482" s="27">
        <f>SUMPRODUCT(COUNTIFS(확률!$J$2:$J$46, 원본!B482:G482, 확률!$M$2:$M$46, "&lt;=20"))</f>
        <v/>
      </c>
      <c r="K482" s="27">
        <f>SUMPRODUCT(COUNTIFS(확률!$J$2:$J$46, 원본!B482:G482, 확률!$M$2:$M$46, "&gt;=36"))</f>
        <v/>
      </c>
      <c r="L482" s="27">
        <f>6-J482-K482</f>
        <v/>
      </c>
    </row>
    <row r="483" ht="16.5" customHeight="1" s="28">
      <c r="A483" s="31" t="n">
        <v>482</v>
      </c>
      <c r="B483" s="27" t="n">
        <v>1</v>
      </c>
      <c r="C483" s="27" t="n">
        <v>10</v>
      </c>
      <c r="D483" s="27" t="n">
        <v>16</v>
      </c>
      <c r="E483" s="27" t="n">
        <v>24</v>
      </c>
      <c r="F483" s="27" t="n">
        <v>25</v>
      </c>
      <c r="G483" s="27" t="n">
        <v>35</v>
      </c>
      <c r="H483" s="27" t="n">
        <v>43</v>
      </c>
      <c r="J483" s="27">
        <f>SUMPRODUCT(COUNTIFS(확률!$J$2:$J$46, 원본!B483:G483, 확률!$M$2:$M$46, "&lt;=20"))</f>
        <v/>
      </c>
      <c r="K483" s="27">
        <f>SUMPRODUCT(COUNTIFS(확률!$J$2:$J$46, 원본!B483:G483, 확률!$M$2:$M$46, "&gt;=36"))</f>
        <v/>
      </c>
      <c r="L483" s="27">
        <f>6-J483-K483</f>
        <v/>
      </c>
    </row>
    <row r="484" ht="16.5" customHeight="1" s="28">
      <c r="A484" s="31" t="n">
        <v>483</v>
      </c>
      <c r="B484" s="27" t="n">
        <v>12</v>
      </c>
      <c r="C484" s="27" t="n">
        <v>15</v>
      </c>
      <c r="D484" s="27" t="n">
        <v>19</v>
      </c>
      <c r="E484" s="27" t="n">
        <v>22</v>
      </c>
      <c r="F484" s="27" t="n">
        <v>28</v>
      </c>
      <c r="G484" s="27" t="n">
        <v>34</v>
      </c>
      <c r="H484" s="27" t="n">
        <v>5</v>
      </c>
      <c r="J484" s="27">
        <f>SUMPRODUCT(COUNTIFS(확률!$J$2:$J$46, 원본!B484:G484, 확률!$M$2:$M$46, "&lt;=20"))</f>
        <v/>
      </c>
      <c r="K484" s="27">
        <f>SUMPRODUCT(COUNTIFS(확률!$J$2:$J$46, 원본!B484:G484, 확률!$M$2:$M$46, "&gt;=36"))</f>
        <v/>
      </c>
      <c r="L484" s="27">
        <f>6-J484-K484</f>
        <v/>
      </c>
    </row>
    <row r="485" ht="16.5" customHeight="1" s="28">
      <c r="A485" s="31" t="n">
        <v>484</v>
      </c>
      <c r="B485" s="27" t="n">
        <v>1</v>
      </c>
      <c r="C485" s="27" t="n">
        <v>3</v>
      </c>
      <c r="D485" s="27" t="n">
        <v>27</v>
      </c>
      <c r="E485" s="27" t="n">
        <v>28</v>
      </c>
      <c r="F485" s="27" t="n">
        <v>32</v>
      </c>
      <c r="G485" s="27" t="n">
        <v>45</v>
      </c>
      <c r="H485" s="27" t="n">
        <v>11</v>
      </c>
      <c r="J485" s="27">
        <f>SUMPRODUCT(COUNTIFS(확률!$J$2:$J$46, 원본!B485:G485, 확률!$M$2:$M$46, "&lt;=20"))</f>
        <v/>
      </c>
      <c r="K485" s="27">
        <f>SUMPRODUCT(COUNTIFS(확률!$J$2:$J$46, 원본!B485:G485, 확률!$M$2:$M$46, "&gt;=36"))</f>
        <v/>
      </c>
      <c r="L485" s="27">
        <f>6-J485-K485</f>
        <v/>
      </c>
    </row>
    <row r="486" ht="16.5" customHeight="1" s="28">
      <c r="A486" s="31" t="n">
        <v>485</v>
      </c>
      <c r="B486" s="27" t="n">
        <v>17</v>
      </c>
      <c r="C486" s="27" t="n">
        <v>22</v>
      </c>
      <c r="D486" s="27" t="n">
        <v>26</v>
      </c>
      <c r="E486" s="27" t="n">
        <v>27</v>
      </c>
      <c r="F486" s="27" t="n">
        <v>36</v>
      </c>
      <c r="G486" s="27" t="n">
        <v>39</v>
      </c>
      <c r="H486" s="27" t="n">
        <v>20</v>
      </c>
      <c r="J486" s="27">
        <f>SUMPRODUCT(COUNTIFS(확률!$J$2:$J$46, 원본!B486:G486, 확률!$M$2:$M$46, "&lt;=20"))</f>
        <v/>
      </c>
      <c r="K486" s="27">
        <f>SUMPRODUCT(COUNTIFS(확률!$J$2:$J$46, 원본!B486:G486, 확률!$M$2:$M$46, "&gt;=36"))</f>
        <v/>
      </c>
      <c r="L486" s="27">
        <f>6-J486-K486</f>
        <v/>
      </c>
    </row>
    <row r="487" ht="16.5" customHeight="1" s="28">
      <c r="A487" s="31" t="n">
        <v>486</v>
      </c>
      <c r="B487" s="27" t="n">
        <v>1</v>
      </c>
      <c r="C487" s="27" t="n">
        <v>2</v>
      </c>
      <c r="D487" s="27" t="n">
        <v>23</v>
      </c>
      <c r="E487" s="27" t="n">
        <v>25</v>
      </c>
      <c r="F487" s="27" t="n">
        <v>38</v>
      </c>
      <c r="G487" s="27" t="n">
        <v>40</v>
      </c>
      <c r="H487" s="27" t="n">
        <v>43</v>
      </c>
      <c r="J487" s="27">
        <f>SUMPRODUCT(COUNTIFS(확률!$J$2:$J$46, 원본!B487:G487, 확률!$M$2:$M$46, "&lt;=20"))</f>
        <v/>
      </c>
      <c r="K487" s="27">
        <f>SUMPRODUCT(COUNTIFS(확률!$J$2:$J$46, 원본!B487:G487, 확률!$M$2:$M$46, "&gt;=36"))</f>
        <v/>
      </c>
      <c r="L487" s="27">
        <f>6-J487-K487</f>
        <v/>
      </c>
    </row>
    <row r="488" ht="16.5" customHeight="1" s="28">
      <c r="A488" s="31" t="n">
        <v>487</v>
      </c>
      <c r="B488" s="27" t="n">
        <v>4</v>
      </c>
      <c r="C488" s="27" t="n">
        <v>8</v>
      </c>
      <c r="D488" s="27" t="n">
        <v>25</v>
      </c>
      <c r="E488" s="27" t="n">
        <v>27</v>
      </c>
      <c r="F488" s="27" t="n">
        <v>37</v>
      </c>
      <c r="G488" s="27" t="n">
        <v>41</v>
      </c>
      <c r="H488" s="27" t="n">
        <v>21</v>
      </c>
      <c r="J488" s="27">
        <f>SUMPRODUCT(COUNTIFS(확률!$J$2:$J$46, 원본!B488:G488, 확률!$M$2:$M$46, "&lt;=20"))</f>
        <v/>
      </c>
      <c r="K488" s="27">
        <f>SUMPRODUCT(COUNTIFS(확률!$J$2:$J$46, 원본!B488:G488, 확률!$M$2:$M$46, "&gt;=36"))</f>
        <v/>
      </c>
      <c r="L488" s="27">
        <f>6-J488-K488</f>
        <v/>
      </c>
    </row>
    <row r="489" ht="16.5" customHeight="1" s="28">
      <c r="A489" s="31" t="n">
        <v>488</v>
      </c>
      <c r="B489" s="27" t="n">
        <v>2</v>
      </c>
      <c r="C489" s="27" t="n">
        <v>8</v>
      </c>
      <c r="D489" s="27" t="n">
        <v>17</v>
      </c>
      <c r="E489" s="27" t="n">
        <v>30</v>
      </c>
      <c r="F489" s="27" t="n">
        <v>31</v>
      </c>
      <c r="G489" s="27" t="n">
        <v>38</v>
      </c>
      <c r="H489" s="27" t="n">
        <v>25</v>
      </c>
      <c r="J489" s="27">
        <f>SUMPRODUCT(COUNTIFS(확률!$J$2:$J$46, 원본!B489:G489, 확률!$M$2:$M$46, "&lt;=20"))</f>
        <v/>
      </c>
      <c r="K489" s="27">
        <f>SUMPRODUCT(COUNTIFS(확률!$J$2:$J$46, 원본!B489:G489, 확률!$M$2:$M$46, "&gt;=36"))</f>
        <v/>
      </c>
      <c r="L489" s="27">
        <f>6-J489-K489</f>
        <v/>
      </c>
    </row>
    <row r="490" ht="16.5" customHeight="1" s="28">
      <c r="A490" s="31" t="n">
        <v>489</v>
      </c>
      <c r="B490" s="27" t="n">
        <v>2</v>
      </c>
      <c r="C490" s="27" t="n">
        <v>4</v>
      </c>
      <c r="D490" s="27" t="n">
        <v>8</v>
      </c>
      <c r="E490" s="27" t="n">
        <v>15</v>
      </c>
      <c r="F490" s="27" t="n">
        <v>20</v>
      </c>
      <c r="G490" s="27" t="n">
        <v>27</v>
      </c>
      <c r="H490" s="27" t="n">
        <v>11</v>
      </c>
      <c r="J490" s="27">
        <f>SUMPRODUCT(COUNTIFS(확률!$J$2:$J$46, 원본!B490:G490, 확률!$M$2:$M$46, "&lt;=20"))</f>
        <v/>
      </c>
      <c r="K490" s="27">
        <f>SUMPRODUCT(COUNTIFS(확률!$J$2:$J$46, 원본!B490:G490, 확률!$M$2:$M$46, "&gt;=36"))</f>
        <v/>
      </c>
      <c r="L490" s="27">
        <f>6-J490-K490</f>
        <v/>
      </c>
    </row>
    <row r="491" ht="16.5" customHeight="1" s="28">
      <c r="A491" s="31" t="n">
        <v>490</v>
      </c>
      <c r="B491" s="27" t="n">
        <v>2</v>
      </c>
      <c r="C491" s="27" t="n">
        <v>7</v>
      </c>
      <c r="D491" s="27" t="n">
        <v>26</v>
      </c>
      <c r="E491" s="27" t="n">
        <v>29</v>
      </c>
      <c r="F491" s="27" t="n">
        <v>40</v>
      </c>
      <c r="G491" s="27" t="n">
        <v>43</v>
      </c>
      <c r="H491" s="27" t="n">
        <v>42</v>
      </c>
      <c r="J491" s="27">
        <f>SUMPRODUCT(COUNTIFS(확률!$J$2:$J$46, 원본!B491:G491, 확률!$M$2:$M$46, "&lt;=20"))</f>
        <v/>
      </c>
      <c r="K491" s="27">
        <f>SUMPRODUCT(COUNTIFS(확률!$J$2:$J$46, 원본!B491:G491, 확률!$M$2:$M$46, "&gt;=36"))</f>
        <v/>
      </c>
      <c r="L491" s="27">
        <f>6-J491-K491</f>
        <v/>
      </c>
    </row>
    <row r="492" ht="16.5" customHeight="1" s="28">
      <c r="A492" s="31" t="n">
        <v>491</v>
      </c>
      <c r="B492" s="27" t="n">
        <v>8</v>
      </c>
      <c r="C492" s="27" t="n">
        <v>17</v>
      </c>
      <c r="D492" s="27" t="n">
        <v>35</v>
      </c>
      <c r="E492" s="27" t="n">
        <v>36</v>
      </c>
      <c r="F492" s="27" t="n">
        <v>39</v>
      </c>
      <c r="G492" s="27" t="n">
        <v>42</v>
      </c>
      <c r="H492" s="27" t="n">
        <v>4</v>
      </c>
      <c r="J492" s="27">
        <f>SUMPRODUCT(COUNTIFS(확률!$J$2:$J$46, 원본!B492:G492, 확률!$M$2:$M$46, "&lt;=20"))</f>
        <v/>
      </c>
      <c r="K492" s="27">
        <f>SUMPRODUCT(COUNTIFS(확률!$J$2:$J$46, 원본!B492:G492, 확률!$M$2:$M$46, "&gt;=36"))</f>
        <v/>
      </c>
      <c r="L492" s="27">
        <f>6-J492-K492</f>
        <v/>
      </c>
    </row>
    <row r="493" ht="16.5" customHeight="1" s="28">
      <c r="A493" s="31" t="n">
        <v>492</v>
      </c>
      <c r="B493" s="27" t="n">
        <v>22</v>
      </c>
      <c r="C493" s="27" t="n">
        <v>27</v>
      </c>
      <c r="D493" s="27" t="n">
        <v>31</v>
      </c>
      <c r="E493" s="27" t="n">
        <v>35</v>
      </c>
      <c r="F493" s="27" t="n">
        <v>37</v>
      </c>
      <c r="G493" s="27" t="n">
        <v>40</v>
      </c>
      <c r="H493" s="27" t="n">
        <v>42</v>
      </c>
      <c r="J493" s="27">
        <f>SUMPRODUCT(COUNTIFS(확률!$J$2:$J$46, 원본!B493:G493, 확률!$M$2:$M$46, "&lt;=20"))</f>
        <v/>
      </c>
      <c r="K493" s="27">
        <f>SUMPRODUCT(COUNTIFS(확률!$J$2:$J$46, 원본!B493:G493, 확률!$M$2:$M$46, "&gt;=36"))</f>
        <v/>
      </c>
      <c r="L493" s="27">
        <f>6-J493-K493</f>
        <v/>
      </c>
    </row>
    <row r="494" ht="16.5" customHeight="1" s="28">
      <c r="A494" s="31" t="n">
        <v>493</v>
      </c>
      <c r="B494" s="27" t="n">
        <v>20</v>
      </c>
      <c r="C494" s="27" t="n">
        <v>22</v>
      </c>
      <c r="D494" s="27" t="n">
        <v>26</v>
      </c>
      <c r="E494" s="27" t="n">
        <v>33</v>
      </c>
      <c r="F494" s="27" t="n">
        <v>36</v>
      </c>
      <c r="G494" s="27" t="n">
        <v>37</v>
      </c>
      <c r="H494" s="27" t="n">
        <v>25</v>
      </c>
      <c r="J494" s="27">
        <f>SUMPRODUCT(COUNTIFS(확률!$J$2:$J$46, 원본!B494:G494, 확률!$M$2:$M$46, "&lt;=20"))</f>
        <v/>
      </c>
      <c r="K494" s="27">
        <f>SUMPRODUCT(COUNTIFS(확률!$J$2:$J$46, 원본!B494:G494, 확률!$M$2:$M$46, "&gt;=36"))</f>
        <v/>
      </c>
      <c r="L494" s="27">
        <f>6-J494-K494</f>
        <v/>
      </c>
    </row>
    <row r="495" ht="16.5" customHeight="1" s="28">
      <c r="A495" s="31" t="n">
        <v>494</v>
      </c>
      <c r="B495" s="27" t="n">
        <v>5</v>
      </c>
      <c r="C495" s="27" t="n">
        <v>7</v>
      </c>
      <c r="D495" s="27" t="n">
        <v>8</v>
      </c>
      <c r="E495" s="27" t="n">
        <v>15</v>
      </c>
      <c r="F495" s="27" t="n">
        <v>30</v>
      </c>
      <c r="G495" s="27" t="n">
        <v>43</v>
      </c>
      <c r="H495" s="27" t="n">
        <v>22</v>
      </c>
      <c r="J495" s="27">
        <f>SUMPRODUCT(COUNTIFS(확률!$J$2:$J$46, 원본!B495:G495, 확률!$M$2:$M$46, "&lt;=20"))</f>
        <v/>
      </c>
      <c r="K495" s="27">
        <f>SUMPRODUCT(COUNTIFS(확률!$J$2:$J$46, 원본!B495:G495, 확률!$M$2:$M$46, "&gt;=36"))</f>
        <v/>
      </c>
      <c r="L495" s="27">
        <f>6-J495-K495</f>
        <v/>
      </c>
    </row>
    <row r="496" ht="16.5" customHeight="1" s="28">
      <c r="A496" s="31" t="n">
        <v>495</v>
      </c>
      <c r="B496" s="27" t="n">
        <v>4</v>
      </c>
      <c r="C496" s="27" t="n">
        <v>13</v>
      </c>
      <c r="D496" s="27" t="n">
        <v>22</v>
      </c>
      <c r="E496" s="27" t="n">
        <v>27</v>
      </c>
      <c r="F496" s="27" t="n">
        <v>34</v>
      </c>
      <c r="G496" s="27" t="n">
        <v>44</v>
      </c>
      <c r="H496" s="27" t="n">
        <v>6</v>
      </c>
      <c r="J496" s="27">
        <f>SUMPRODUCT(COUNTIFS(확률!$J$2:$J$46, 원본!B496:G496, 확률!$M$2:$M$46, "&lt;=20"))</f>
        <v/>
      </c>
      <c r="K496" s="27">
        <f>SUMPRODUCT(COUNTIFS(확률!$J$2:$J$46, 원본!B496:G496, 확률!$M$2:$M$46, "&gt;=36"))</f>
        <v/>
      </c>
      <c r="L496" s="27">
        <f>6-J496-K496</f>
        <v/>
      </c>
    </row>
    <row r="497" ht="16.5" customHeight="1" s="28">
      <c r="A497" s="31" t="n">
        <v>496</v>
      </c>
      <c r="B497" s="27" t="n">
        <v>4</v>
      </c>
      <c r="C497" s="27" t="n">
        <v>13</v>
      </c>
      <c r="D497" s="27" t="n">
        <v>20</v>
      </c>
      <c r="E497" s="27" t="n">
        <v>29</v>
      </c>
      <c r="F497" s="27" t="n">
        <v>36</v>
      </c>
      <c r="G497" s="27" t="n">
        <v>41</v>
      </c>
      <c r="H497" s="27" t="n">
        <v>39</v>
      </c>
      <c r="J497" s="27">
        <f>SUMPRODUCT(COUNTIFS(확률!$J$2:$J$46, 원본!B497:G497, 확률!$M$2:$M$46, "&lt;=20"))</f>
        <v/>
      </c>
      <c r="K497" s="27">
        <f>SUMPRODUCT(COUNTIFS(확률!$J$2:$J$46, 원본!B497:G497, 확률!$M$2:$M$46, "&gt;=36"))</f>
        <v/>
      </c>
      <c r="L497" s="27">
        <f>6-J497-K497</f>
        <v/>
      </c>
    </row>
    <row r="498" ht="16.5" customHeight="1" s="28">
      <c r="A498" s="31" t="n">
        <v>497</v>
      </c>
      <c r="B498" s="27" t="n">
        <v>19</v>
      </c>
      <c r="C498" s="27" t="n">
        <v>20</v>
      </c>
      <c r="D498" s="27" t="n">
        <v>23</v>
      </c>
      <c r="E498" s="27" t="n">
        <v>24</v>
      </c>
      <c r="F498" s="27" t="n">
        <v>43</v>
      </c>
      <c r="G498" s="27" t="n">
        <v>44</v>
      </c>
      <c r="H498" s="27" t="n">
        <v>13</v>
      </c>
      <c r="J498" s="27">
        <f>SUMPRODUCT(COUNTIFS(확률!$J$2:$J$46, 원본!B498:G498, 확률!$M$2:$M$46, "&lt;=20"))</f>
        <v/>
      </c>
      <c r="K498" s="27">
        <f>SUMPRODUCT(COUNTIFS(확률!$J$2:$J$46, 원본!B498:G498, 확률!$M$2:$M$46, "&gt;=36"))</f>
        <v/>
      </c>
      <c r="L498" s="27">
        <f>6-J498-K498</f>
        <v/>
      </c>
    </row>
    <row r="499" ht="16.5" customHeight="1" s="28">
      <c r="A499" s="31" t="n">
        <v>498</v>
      </c>
      <c r="B499" s="27" t="n">
        <v>13</v>
      </c>
      <c r="C499" s="27" t="n">
        <v>14</v>
      </c>
      <c r="D499" s="27" t="n">
        <v>24</v>
      </c>
      <c r="E499" s="27" t="n">
        <v>32</v>
      </c>
      <c r="F499" s="27" t="n">
        <v>39</v>
      </c>
      <c r="G499" s="27" t="n">
        <v>41</v>
      </c>
      <c r="H499" s="27" t="n">
        <v>3</v>
      </c>
      <c r="J499" s="27">
        <f>SUMPRODUCT(COUNTIFS(확률!$J$2:$J$46, 원본!B499:G499, 확률!$M$2:$M$46, "&lt;=20"))</f>
        <v/>
      </c>
      <c r="K499" s="27">
        <f>SUMPRODUCT(COUNTIFS(확률!$J$2:$J$46, 원본!B499:G499, 확률!$M$2:$M$46, "&gt;=36"))</f>
        <v/>
      </c>
      <c r="L499" s="27">
        <f>6-J499-K499</f>
        <v/>
      </c>
    </row>
    <row r="500" ht="16.5" customHeight="1" s="28">
      <c r="A500" s="31" t="n">
        <v>499</v>
      </c>
      <c r="B500" s="27" t="n">
        <v>5</v>
      </c>
      <c r="C500" s="27" t="n">
        <v>20</v>
      </c>
      <c r="D500" s="27" t="n">
        <v>23</v>
      </c>
      <c r="E500" s="27" t="n">
        <v>27</v>
      </c>
      <c r="F500" s="27" t="n">
        <v>35</v>
      </c>
      <c r="G500" s="27" t="n">
        <v>40</v>
      </c>
      <c r="H500" s="27" t="n">
        <v>43</v>
      </c>
      <c r="J500" s="27">
        <f>SUMPRODUCT(COUNTIFS(확률!$J$2:$J$46, 원본!B500:G500, 확률!$M$2:$M$46, "&lt;=20"))</f>
        <v/>
      </c>
      <c r="K500" s="27">
        <f>SUMPRODUCT(COUNTIFS(확률!$J$2:$J$46, 원본!B500:G500, 확률!$M$2:$M$46, "&gt;=36"))</f>
        <v/>
      </c>
      <c r="L500" s="27">
        <f>6-J500-K500</f>
        <v/>
      </c>
    </row>
    <row r="501" ht="16.5" customHeight="1" s="28">
      <c r="A501" s="31" t="n">
        <v>500</v>
      </c>
      <c r="B501" s="27" t="n">
        <v>3</v>
      </c>
      <c r="C501" s="27" t="n">
        <v>4</v>
      </c>
      <c r="D501" s="27" t="n">
        <v>12</v>
      </c>
      <c r="E501" s="27" t="n">
        <v>20</v>
      </c>
      <c r="F501" s="27" t="n">
        <v>24</v>
      </c>
      <c r="G501" s="27" t="n">
        <v>34</v>
      </c>
      <c r="H501" s="27" t="n">
        <v>41</v>
      </c>
      <c r="J501" s="27">
        <f>SUMPRODUCT(COUNTIFS(확률!$J$2:$J$46, 원본!B501:G501, 확률!$M$2:$M$46, "&lt;=20"))</f>
        <v/>
      </c>
      <c r="K501" s="27">
        <f>SUMPRODUCT(COUNTIFS(확률!$J$2:$J$46, 원본!B501:G501, 확률!$M$2:$M$46, "&gt;=36"))</f>
        <v/>
      </c>
      <c r="L501" s="27">
        <f>6-J501-K501</f>
        <v/>
      </c>
    </row>
    <row r="502" ht="16.5" customHeight="1" s="28">
      <c r="A502" s="31" t="n">
        <v>501</v>
      </c>
      <c r="B502" s="27" t="n">
        <v>1</v>
      </c>
      <c r="C502" s="27" t="n">
        <v>4</v>
      </c>
      <c r="D502" s="27" t="n">
        <v>10</v>
      </c>
      <c r="E502" s="27" t="n">
        <v>17</v>
      </c>
      <c r="F502" s="27" t="n">
        <v>31</v>
      </c>
      <c r="G502" s="27" t="n">
        <v>42</v>
      </c>
      <c r="H502" s="27" t="n">
        <v>2</v>
      </c>
      <c r="J502" s="27">
        <f>SUMPRODUCT(COUNTIFS(확률!$J$2:$J$46, 원본!B502:G502, 확률!$M$2:$M$46, "&lt;=20"))</f>
        <v/>
      </c>
      <c r="K502" s="27">
        <f>SUMPRODUCT(COUNTIFS(확률!$J$2:$J$46, 원본!B502:G502, 확률!$M$2:$M$46, "&gt;=36"))</f>
        <v/>
      </c>
      <c r="L502" s="27">
        <f>6-J502-K502</f>
        <v/>
      </c>
    </row>
    <row r="503" ht="16.5" customHeight="1" s="28">
      <c r="A503" s="31" t="n">
        <v>502</v>
      </c>
      <c r="B503" s="27" t="n">
        <v>6</v>
      </c>
      <c r="C503" s="27" t="n">
        <v>22</v>
      </c>
      <c r="D503" s="27" t="n">
        <v>28</v>
      </c>
      <c r="E503" s="27" t="n">
        <v>32</v>
      </c>
      <c r="F503" s="27" t="n">
        <v>34</v>
      </c>
      <c r="G503" s="27" t="n">
        <v>40</v>
      </c>
      <c r="H503" s="27" t="n">
        <v>26</v>
      </c>
      <c r="J503" s="27">
        <f>SUMPRODUCT(COUNTIFS(확률!$J$2:$J$46, 원본!B503:G503, 확률!$M$2:$M$46, "&lt;=20"))</f>
        <v/>
      </c>
      <c r="K503" s="27">
        <f>SUMPRODUCT(COUNTIFS(확률!$J$2:$J$46, 원본!B503:G503, 확률!$M$2:$M$46, "&gt;=36"))</f>
        <v/>
      </c>
      <c r="L503" s="27">
        <f>6-J503-K503</f>
        <v/>
      </c>
    </row>
    <row r="504" ht="16.5" customHeight="1" s="28">
      <c r="A504" s="31" t="n">
        <v>503</v>
      </c>
      <c r="B504" s="27" t="n">
        <v>1</v>
      </c>
      <c r="C504" s="27" t="n">
        <v>5</v>
      </c>
      <c r="D504" s="27" t="n">
        <v>27</v>
      </c>
      <c r="E504" s="27" t="n">
        <v>30</v>
      </c>
      <c r="F504" s="27" t="n">
        <v>34</v>
      </c>
      <c r="G504" s="27" t="n">
        <v>36</v>
      </c>
      <c r="H504" s="27" t="n">
        <v>40</v>
      </c>
      <c r="J504" s="27">
        <f>SUMPRODUCT(COUNTIFS(확률!$J$2:$J$46, 원본!B504:G504, 확률!$M$2:$M$46, "&lt;=20"))</f>
        <v/>
      </c>
      <c r="K504" s="27">
        <f>SUMPRODUCT(COUNTIFS(확률!$J$2:$J$46, 원본!B504:G504, 확률!$M$2:$M$46, "&gt;=36"))</f>
        <v/>
      </c>
      <c r="L504" s="27">
        <f>6-J504-K504</f>
        <v/>
      </c>
    </row>
    <row r="505" ht="16.5" customHeight="1" s="28">
      <c r="A505" s="31" t="n">
        <v>504</v>
      </c>
      <c r="B505" s="27" t="n">
        <v>6</v>
      </c>
      <c r="C505" s="27" t="n">
        <v>14</v>
      </c>
      <c r="D505" s="27" t="n">
        <v>22</v>
      </c>
      <c r="E505" s="27" t="n">
        <v>26</v>
      </c>
      <c r="F505" s="27" t="n">
        <v>43</v>
      </c>
      <c r="G505" s="27" t="n">
        <v>44</v>
      </c>
      <c r="H505" s="27" t="n">
        <v>31</v>
      </c>
      <c r="J505" s="27">
        <f>SUMPRODUCT(COUNTIFS(확률!$J$2:$J$46, 원본!B505:G505, 확률!$M$2:$M$46, "&lt;=20"))</f>
        <v/>
      </c>
      <c r="K505" s="27">
        <f>SUMPRODUCT(COUNTIFS(확률!$J$2:$J$46, 원본!B505:G505, 확률!$M$2:$M$46, "&gt;=36"))</f>
        <v/>
      </c>
      <c r="L505" s="27">
        <f>6-J505-K505</f>
        <v/>
      </c>
    </row>
    <row r="506" ht="16.5" customHeight="1" s="28">
      <c r="A506" s="31" t="n">
        <v>505</v>
      </c>
      <c r="B506" s="27" t="n">
        <v>7</v>
      </c>
      <c r="C506" s="27" t="n">
        <v>20</v>
      </c>
      <c r="D506" s="27" t="n">
        <v>22</v>
      </c>
      <c r="E506" s="27" t="n">
        <v>25</v>
      </c>
      <c r="F506" s="27" t="n">
        <v>38</v>
      </c>
      <c r="G506" s="27" t="n">
        <v>40</v>
      </c>
      <c r="H506" s="27" t="n">
        <v>44</v>
      </c>
      <c r="J506" s="27">
        <f>SUMPRODUCT(COUNTIFS(확률!$J$2:$J$46, 원본!B506:G506, 확률!$M$2:$M$46, "&lt;=20"))</f>
        <v/>
      </c>
      <c r="K506" s="27">
        <f>SUMPRODUCT(COUNTIFS(확률!$J$2:$J$46, 원본!B506:G506, 확률!$M$2:$M$46, "&gt;=36"))</f>
        <v/>
      </c>
      <c r="L506" s="27">
        <f>6-J506-K506</f>
        <v/>
      </c>
    </row>
    <row r="507" ht="16.5" customHeight="1" s="28">
      <c r="A507" s="31" t="n">
        <v>506</v>
      </c>
      <c r="B507" s="27" t="n">
        <v>6</v>
      </c>
      <c r="C507" s="27" t="n">
        <v>9</v>
      </c>
      <c r="D507" s="27" t="n">
        <v>11</v>
      </c>
      <c r="E507" s="27" t="n">
        <v>22</v>
      </c>
      <c r="F507" s="27" t="n">
        <v>24</v>
      </c>
      <c r="G507" s="27" t="n">
        <v>30</v>
      </c>
      <c r="H507" s="27" t="n">
        <v>31</v>
      </c>
      <c r="J507" s="27">
        <f>SUMPRODUCT(COUNTIFS(확률!$J$2:$J$46, 원본!B507:G507, 확률!$M$2:$M$46, "&lt;=20"))</f>
        <v/>
      </c>
      <c r="K507" s="27">
        <f>SUMPRODUCT(COUNTIFS(확률!$J$2:$J$46, 원본!B507:G507, 확률!$M$2:$M$46, "&gt;=36"))</f>
        <v/>
      </c>
      <c r="L507" s="27">
        <f>6-J507-K507</f>
        <v/>
      </c>
    </row>
    <row r="508" ht="16.5" customHeight="1" s="28">
      <c r="A508" s="31" t="n">
        <v>507</v>
      </c>
      <c r="B508" s="27" t="n">
        <v>12</v>
      </c>
      <c r="C508" s="27" t="n">
        <v>13</v>
      </c>
      <c r="D508" s="27" t="n">
        <v>32</v>
      </c>
      <c r="E508" s="27" t="n">
        <v>33</v>
      </c>
      <c r="F508" s="27" t="n">
        <v>40</v>
      </c>
      <c r="G508" s="27" t="n">
        <v>41</v>
      </c>
      <c r="H508" s="27" t="n">
        <v>4</v>
      </c>
      <c r="J508" s="27">
        <f>SUMPRODUCT(COUNTIFS(확률!$J$2:$J$46, 원본!B508:G508, 확률!$M$2:$M$46, "&lt;=20"))</f>
        <v/>
      </c>
      <c r="K508" s="27">
        <f>SUMPRODUCT(COUNTIFS(확률!$J$2:$J$46, 원본!B508:G508, 확률!$M$2:$M$46, "&gt;=36"))</f>
        <v/>
      </c>
      <c r="L508" s="27">
        <f>6-J508-K508</f>
        <v/>
      </c>
    </row>
    <row r="509" ht="16.5" customHeight="1" s="28">
      <c r="A509" s="31" t="n">
        <v>508</v>
      </c>
      <c r="B509" s="27" t="n">
        <v>5</v>
      </c>
      <c r="C509" s="27" t="n">
        <v>27</v>
      </c>
      <c r="D509" s="27" t="n">
        <v>31</v>
      </c>
      <c r="E509" s="27" t="n">
        <v>34</v>
      </c>
      <c r="F509" s="27" t="n">
        <v>35</v>
      </c>
      <c r="G509" s="27" t="n">
        <v>43</v>
      </c>
      <c r="H509" s="27" t="n">
        <v>37</v>
      </c>
      <c r="J509" s="27">
        <f>SUMPRODUCT(COUNTIFS(확률!$J$2:$J$46, 원본!B509:G509, 확률!$M$2:$M$46, "&lt;=20"))</f>
        <v/>
      </c>
      <c r="K509" s="27">
        <f>SUMPRODUCT(COUNTIFS(확률!$J$2:$J$46, 원본!B509:G509, 확률!$M$2:$M$46, "&gt;=36"))</f>
        <v/>
      </c>
      <c r="L509" s="27">
        <f>6-J509-K509</f>
        <v/>
      </c>
    </row>
    <row r="510" ht="16.5" customHeight="1" s="28">
      <c r="A510" s="31" t="n">
        <v>509</v>
      </c>
      <c r="B510" s="27" t="n">
        <v>12</v>
      </c>
      <c r="C510" s="27" t="n">
        <v>25</v>
      </c>
      <c r="D510" s="27" t="n">
        <v>29</v>
      </c>
      <c r="E510" s="27" t="n">
        <v>35</v>
      </c>
      <c r="F510" s="27" t="n">
        <v>42</v>
      </c>
      <c r="G510" s="27" t="n">
        <v>43</v>
      </c>
      <c r="H510" s="27" t="n">
        <v>24</v>
      </c>
      <c r="J510" s="27">
        <f>SUMPRODUCT(COUNTIFS(확률!$J$2:$J$46, 원본!B510:G510, 확률!$M$2:$M$46, "&lt;=20"))</f>
        <v/>
      </c>
      <c r="K510" s="27">
        <f>SUMPRODUCT(COUNTIFS(확률!$J$2:$J$46, 원본!B510:G510, 확률!$M$2:$M$46, "&gt;=36"))</f>
        <v/>
      </c>
      <c r="L510" s="27">
        <f>6-J510-K510</f>
        <v/>
      </c>
    </row>
    <row r="511" ht="16.5" customHeight="1" s="28">
      <c r="A511" s="31" t="n">
        <v>510</v>
      </c>
      <c r="B511" s="27" t="n">
        <v>12</v>
      </c>
      <c r="C511" s="27" t="n">
        <v>29</v>
      </c>
      <c r="D511" s="27" t="n">
        <v>32</v>
      </c>
      <c r="E511" s="27" t="n">
        <v>33</v>
      </c>
      <c r="F511" s="27" t="n">
        <v>39</v>
      </c>
      <c r="G511" s="27" t="n">
        <v>40</v>
      </c>
      <c r="H511" s="27" t="n">
        <v>42</v>
      </c>
      <c r="J511" s="27">
        <f>SUMPRODUCT(COUNTIFS(확률!$J$2:$J$46, 원본!B511:G511, 확률!$M$2:$M$46, "&lt;=20"))</f>
        <v/>
      </c>
      <c r="K511" s="27">
        <f>SUMPRODUCT(COUNTIFS(확률!$J$2:$J$46, 원본!B511:G511, 확률!$M$2:$M$46, "&gt;=36"))</f>
        <v/>
      </c>
      <c r="L511" s="27">
        <f>6-J511-K511</f>
        <v/>
      </c>
    </row>
    <row r="512" ht="16.5" customHeight="1" s="28">
      <c r="A512" s="31" t="n">
        <v>511</v>
      </c>
      <c r="B512" s="27" t="n">
        <v>3</v>
      </c>
      <c r="C512" s="27" t="n">
        <v>7</v>
      </c>
      <c r="D512" s="27" t="n">
        <v>14</v>
      </c>
      <c r="E512" s="27" t="n">
        <v>23</v>
      </c>
      <c r="F512" s="27" t="n">
        <v>26</v>
      </c>
      <c r="G512" s="27" t="n">
        <v>42</v>
      </c>
      <c r="H512" s="27" t="n">
        <v>24</v>
      </c>
      <c r="J512" s="27">
        <f>SUMPRODUCT(COUNTIFS(확률!$J$2:$J$46, 원본!B512:G512, 확률!$M$2:$M$46, "&lt;=20"))</f>
        <v/>
      </c>
      <c r="K512" s="27">
        <f>SUMPRODUCT(COUNTIFS(확률!$J$2:$J$46, 원본!B512:G512, 확률!$M$2:$M$46, "&gt;=36"))</f>
        <v/>
      </c>
      <c r="L512" s="27">
        <f>6-J512-K512</f>
        <v/>
      </c>
    </row>
    <row r="513" ht="16.5" customHeight="1" s="28">
      <c r="A513" s="31" t="n">
        <v>512</v>
      </c>
      <c r="B513" s="27" t="n">
        <v>4</v>
      </c>
      <c r="C513" s="27" t="n">
        <v>5</v>
      </c>
      <c r="D513" s="27" t="n">
        <v>9</v>
      </c>
      <c r="E513" s="27" t="n">
        <v>13</v>
      </c>
      <c r="F513" s="27" t="n">
        <v>26</v>
      </c>
      <c r="G513" s="27" t="n">
        <v>27</v>
      </c>
      <c r="H513" s="27" t="n">
        <v>1</v>
      </c>
      <c r="J513" s="27">
        <f>SUMPRODUCT(COUNTIFS(확률!$J$2:$J$46, 원본!B513:G513, 확률!$M$2:$M$46, "&lt;=20"))</f>
        <v/>
      </c>
      <c r="K513" s="27">
        <f>SUMPRODUCT(COUNTIFS(확률!$J$2:$J$46, 원본!B513:G513, 확률!$M$2:$M$46, "&gt;=36"))</f>
        <v/>
      </c>
      <c r="L513" s="27">
        <f>6-J513-K513</f>
        <v/>
      </c>
    </row>
    <row r="514" ht="16.5" customHeight="1" s="28">
      <c r="A514" s="31" t="n">
        <v>513</v>
      </c>
      <c r="B514" s="27" t="n">
        <v>5</v>
      </c>
      <c r="C514" s="27" t="n">
        <v>8</v>
      </c>
      <c r="D514" s="27" t="n">
        <v>21</v>
      </c>
      <c r="E514" s="27" t="n">
        <v>23</v>
      </c>
      <c r="F514" s="27" t="n">
        <v>27</v>
      </c>
      <c r="G514" s="27" t="n">
        <v>33</v>
      </c>
      <c r="H514" s="27" t="n">
        <v>12</v>
      </c>
      <c r="J514" s="27">
        <f>SUMPRODUCT(COUNTIFS(확률!$J$2:$J$46, 원본!B514:G514, 확률!$M$2:$M$46, "&lt;=20"))</f>
        <v/>
      </c>
      <c r="K514" s="27">
        <f>SUMPRODUCT(COUNTIFS(확률!$J$2:$J$46, 원본!B514:G514, 확률!$M$2:$M$46, "&gt;=36"))</f>
        <v/>
      </c>
      <c r="L514" s="27">
        <f>6-J514-K514</f>
        <v/>
      </c>
    </row>
    <row r="515" ht="16.5" customHeight="1" s="28">
      <c r="A515" s="31" t="n">
        <v>514</v>
      </c>
      <c r="B515" s="27" t="n">
        <v>1</v>
      </c>
      <c r="C515" s="27" t="n">
        <v>15</v>
      </c>
      <c r="D515" s="27" t="n">
        <v>20</v>
      </c>
      <c r="E515" s="27" t="n">
        <v>26</v>
      </c>
      <c r="F515" s="27" t="n">
        <v>35</v>
      </c>
      <c r="G515" s="27" t="n">
        <v>42</v>
      </c>
      <c r="H515" s="27" t="n">
        <v>9</v>
      </c>
      <c r="J515" s="27">
        <f>SUMPRODUCT(COUNTIFS(확률!$J$2:$J$46, 원본!B515:G515, 확률!$M$2:$M$46, "&lt;=20"))</f>
        <v/>
      </c>
      <c r="K515" s="27">
        <f>SUMPRODUCT(COUNTIFS(확률!$J$2:$J$46, 원본!B515:G515, 확률!$M$2:$M$46, "&gt;=36"))</f>
        <v/>
      </c>
      <c r="L515" s="27">
        <f>6-J515-K515</f>
        <v/>
      </c>
    </row>
    <row r="516" ht="16.5" customHeight="1" s="28">
      <c r="A516" s="31" t="n">
        <v>515</v>
      </c>
      <c r="B516" s="27" t="n">
        <v>2</v>
      </c>
      <c r="C516" s="27" t="n">
        <v>11</v>
      </c>
      <c r="D516" s="27" t="n">
        <v>12</v>
      </c>
      <c r="E516" s="27" t="n">
        <v>15</v>
      </c>
      <c r="F516" s="27" t="n">
        <v>23</v>
      </c>
      <c r="G516" s="27" t="n">
        <v>37</v>
      </c>
      <c r="H516" s="27" t="n">
        <v>8</v>
      </c>
      <c r="J516" s="27">
        <f>SUMPRODUCT(COUNTIFS(확률!$J$2:$J$46, 원본!B516:G516, 확률!$M$2:$M$46, "&lt;=20"))</f>
        <v/>
      </c>
      <c r="K516" s="27">
        <f>SUMPRODUCT(COUNTIFS(확률!$J$2:$J$46, 원본!B516:G516, 확률!$M$2:$M$46, "&gt;=36"))</f>
        <v/>
      </c>
      <c r="L516" s="27">
        <f>6-J516-K516</f>
        <v/>
      </c>
    </row>
    <row r="517" ht="16.5" customHeight="1" s="28">
      <c r="A517" s="31" t="n">
        <v>516</v>
      </c>
      <c r="B517" s="27" t="n">
        <v>2</v>
      </c>
      <c r="C517" s="27" t="n">
        <v>8</v>
      </c>
      <c r="D517" s="27" t="n">
        <v>23</v>
      </c>
      <c r="E517" s="27" t="n">
        <v>41</v>
      </c>
      <c r="F517" s="27" t="n">
        <v>43</v>
      </c>
      <c r="G517" s="27" t="n">
        <v>44</v>
      </c>
      <c r="H517" s="27" t="n">
        <v>30</v>
      </c>
      <c r="J517" s="27">
        <f>SUMPRODUCT(COUNTIFS(확률!$J$2:$J$46, 원본!B517:G517, 확률!$M$2:$M$46, "&lt;=20"))</f>
        <v/>
      </c>
      <c r="K517" s="27">
        <f>SUMPRODUCT(COUNTIFS(확률!$J$2:$J$46, 원본!B517:G517, 확률!$M$2:$M$46, "&gt;=36"))</f>
        <v/>
      </c>
      <c r="L517" s="27">
        <f>6-J517-K517</f>
        <v/>
      </c>
    </row>
    <row r="518" ht="16.5" customHeight="1" s="28">
      <c r="A518" s="31" t="n">
        <v>517</v>
      </c>
      <c r="B518" s="27" t="n">
        <v>1</v>
      </c>
      <c r="C518" s="27" t="n">
        <v>9</v>
      </c>
      <c r="D518" s="27" t="n">
        <v>12</v>
      </c>
      <c r="E518" s="27" t="n">
        <v>28</v>
      </c>
      <c r="F518" s="27" t="n">
        <v>36</v>
      </c>
      <c r="G518" s="27" t="n">
        <v>41</v>
      </c>
      <c r="H518" s="27" t="n">
        <v>10</v>
      </c>
      <c r="J518" s="27">
        <f>SUMPRODUCT(COUNTIFS(확률!$J$2:$J$46, 원본!B518:G518, 확률!$M$2:$M$46, "&lt;=20"))</f>
        <v/>
      </c>
      <c r="K518" s="27">
        <f>SUMPRODUCT(COUNTIFS(확률!$J$2:$J$46, 원본!B518:G518, 확률!$M$2:$M$46, "&gt;=36"))</f>
        <v/>
      </c>
      <c r="L518" s="27">
        <f>6-J518-K518</f>
        <v/>
      </c>
    </row>
    <row r="519" ht="16.5" customHeight="1" s="28">
      <c r="A519" s="31" t="n">
        <v>518</v>
      </c>
      <c r="B519" s="27" t="n">
        <v>14</v>
      </c>
      <c r="C519" s="27" t="n">
        <v>23</v>
      </c>
      <c r="D519" s="27" t="n">
        <v>30</v>
      </c>
      <c r="E519" s="27" t="n">
        <v>32</v>
      </c>
      <c r="F519" s="27" t="n">
        <v>34</v>
      </c>
      <c r="G519" s="27" t="n">
        <v>38</v>
      </c>
      <c r="H519" s="27" t="n">
        <v>6</v>
      </c>
      <c r="J519" s="27">
        <f>SUMPRODUCT(COUNTIFS(확률!$J$2:$J$46, 원본!B519:G519, 확률!$M$2:$M$46, "&lt;=20"))</f>
        <v/>
      </c>
      <c r="K519" s="27">
        <f>SUMPRODUCT(COUNTIFS(확률!$J$2:$J$46, 원본!B519:G519, 확률!$M$2:$M$46, "&gt;=36"))</f>
        <v/>
      </c>
      <c r="L519" s="27">
        <f>6-J519-K519</f>
        <v/>
      </c>
    </row>
    <row r="520" ht="16.5" customHeight="1" s="28">
      <c r="A520" s="31" t="n">
        <v>519</v>
      </c>
      <c r="B520" s="27" t="n">
        <v>6</v>
      </c>
      <c r="C520" s="27" t="n">
        <v>8</v>
      </c>
      <c r="D520" s="27" t="n">
        <v>13</v>
      </c>
      <c r="E520" s="27" t="n">
        <v>16</v>
      </c>
      <c r="F520" s="27" t="n">
        <v>30</v>
      </c>
      <c r="G520" s="27" t="n">
        <v>43</v>
      </c>
      <c r="H520" s="27" t="n">
        <v>3</v>
      </c>
      <c r="J520" s="27">
        <f>SUMPRODUCT(COUNTIFS(확률!$J$2:$J$46, 원본!B520:G520, 확률!$M$2:$M$46, "&lt;=20"))</f>
        <v/>
      </c>
      <c r="K520" s="27">
        <f>SUMPRODUCT(COUNTIFS(확률!$J$2:$J$46, 원본!B520:G520, 확률!$M$2:$M$46, "&gt;=36"))</f>
        <v/>
      </c>
      <c r="L520" s="27">
        <f>6-J520-K520</f>
        <v/>
      </c>
    </row>
    <row r="521" ht="16.5" customHeight="1" s="28">
      <c r="A521" s="31" t="n">
        <v>520</v>
      </c>
      <c r="B521" s="27" t="n">
        <v>4</v>
      </c>
      <c r="C521" s="27" t="n">
        <v>22</v>
      </c>
      <c r="D521" s="27" t="n">
        <v>27</v>
      </c>
      <c r="E521" s="27" t="n">
        <v>28</v>
      </c>
      <c r="F521" s="27" t="n">
        <v>38</v>
      </c>
      <c r="G521" s="27" t="n">
        <v>40</v>
      </c>
      <c r="H521" s="27" t="n">
        <v>1</v>
      </c>
      <c r="J521" s="27">
        <f>SUMPRODUCT(COUNTIFS(확률!$J$2:$J$46, 원본!B521:G521, 확률!$M$2:$M$46, "&lt;=20"))</f>
        <v/>
      </c>
      <c r="K521" s="27">
        <f>SUMPRODUCT(COUNTIFS(확률!$J$2:$J$46, 원본!B521:G521, 확률!$M$2:$M$46, "&gt;=36"))</f>
        <v/>
      </c>
      <c r="L521" s="27">
        <f>6-J521-K521</f>
        <v/>
      </c>
    </row>
    <row r="522" ht="16.5" customHeight="1" s="28">
      <c r="A522" s="31" t="n">
        <v>521</v>
      </c>
      <c r="B522" s="27" t="n">
        <v>3</v>
      </c>
      <c r="C522" s="27" t="n">
        <v>7</v>
      </c>
      <c r="D522" s="27" t="n">
        <v>18</v>
      </c>
      <c r="E522" s="27" t="n">
        <v>29</v>
      </c>
      <c r="F522" s="27" t="n">
        <v>32</v>
      </c>
      <c r="G522" s="27" t="n">
        <v>36</v>
      </c>
      <c r="H522" s="27" t="n">
        <v>19</v>
      </c>
      <c r="J522" s="27">
        <f>SUMPRODUCT(COUNTIFS(확률!$J$2:$J$46, 원본!B522:G522, 확률!$M$2:$M$46, "&lt;=20"))</f>
        <v/>
      </c>
      <c r="K522" s="27">
        <f>SUMPRODUCT(COUNTIFS(확률!$J$2:$J$46, 원본!B522:G522, 확률!$M$2:$M$46, "&gt;=36"))</f>
        <v/>
      </c>
      <c r="L522" s="27">
        <f>6-J522-K522</f>
        <v/>
      </c>
    </row>
    <row r="523" ht="16.5" customHeight="1" s="28">
      <c r="A523" s="31" t="n">
        <v>522</v>
      </c>
      <c r="B523" s="27" t="n">
        <v>4</v>
      </c>
      <c r="C523" s="27" t="n">
        <v>5</v>
      </c>
      <c r="D523" s="27" t="n">
        <v>13</v>
      </c>
      <c r="E523" s="27" t="n">
        <v>14</v>
      </c>
      <c r="F523" s="27" t="n">
        <v>37</v>
      </c>
      <c r="G523" s="27" t="n">
        <v>41</v>
      </c>
      <c r="H523" s="27" t="n">
        <v>11</v>
      </c>
      <c r="J523" s="27">
        <f>SUMPRODUCT(COUNTIFS(확률!$J$2:$J$46, 원본!B523:G523, 확률!$M$2:$M$46, "&lt;=20"))</f>
        <v/>
      </c>
      <c r="K523" s="27">
        <f>SUMPRODUCT(COUNTIFS(확률!$J$2:$J$46, 원본!B523:G523, 확률!$M$2:$M$46, "&gt;=36"))</f>
        <v/>
      </c>
      <c r="L523" s="27">
        <f>6-J523-K523</f>
        <v/>
      </c>
    </row>
    <row r="524" ht="16.5" customHeight="1" s="28">
      <c r="A524" s="31" t="n">
        <v>523</v>
      </c>
      <c r="B524" s="27" t="n">
        <v>1</v>
      </c>
      <c r="C524" s="27" t="n">
        <v>4</v>
      </c>
      <c r="D524" s="27" t="n">
        <v>37</v>
      </c>
      <c r="E524" s="27" t="n">
        <v>38</v>
      </c>
      <c r="F524" s="27" t="n">
        <v>40</v>
      </c>
      <c r="G524" s="27" t="n">
        <v>45</v>
      </c>
      <c r="H524" s="27" t="n">
        <v>7</v>
      </c>
      <c r="J524" s="27">
        <f>SUMPRODUCT(COUNTIFS(확률!$J$2:$J$46, 원본!B524:G524, 확률!$M$2:$M$46, "&lt;=20"))</f>
        <v/>
      </c>
      <c r="K524" s="27">
        <f>SUMPRODUCT(COUNTIFS(확률!$J$2:$J$46, 원본!B524:G524, 확률!$M$2:$M$46, "&gt;=36"))</f>
        <v/>
      </c>
      <c r="L524" s="27">
        <f>6-J524-K524</f>
        <v/>
      </c>
    </row>
    <row r="525" ht="16.5" customHeight="1" s="28">
      <c r="A525" s="31" t="n">
        <v>524</v>
      </c>
      <c r="B525" s="27" t="n">
        <v>10</v>
      </c>
      <c r="C525" s="27" t="n">
        <v>11</v>
      </c>
      <c r="D525" s="27" t="n">
        <v>29</v>
      </c>
      <c r="E525" s="27" t="n">
        <v>38</v>
      </c>
      <c r="F525" s="27" t="n">
        <v>41</v>
      </c>
      <c r="G525" s="27" t="n">
        <v>45</v>
      </c>
      <c r="H525" s="27" t="n">
        <v>21</v>
      </c>
      <c r="J525" s="27">
        <f>SUMPRODUCT(COUNTIFS(확률!$J$2:$J$46, 원본!B525:G525, 확률!$M$2:$M$46, "&lt;=20"))</f>
        <v/>
      </c>
      <c r="K525" s="27">
        <f>SUMPRODUCT(COUNTIFS(확률!$J$2:$J$46, 원본!B525:G525, 확률!$M$2:$M$46, "&gt;=36"))</f>
        <v/>
      </c>
      <c r="L525" s="27">
        <f>6-J525-K525</f>
        <v/>
      </c>
    </row>
    <row r="526" ht="16.5" customHeight="1" s="28">
      <c r="A526" s="31" t="n">
        <v>525</v>
      </c>
      <c r="B526" s="27" t="n">
        <v>11</v>
      </c>
      <c r="C526" s="27" t="n">
        <v>23</v>
      </c>
      <c r="D526" s="27" t="n">
        <v>26</v>
      </c>
      <c r="E526" s="27" t="n">
        <v>29</v>
      </c>
      <c r="F526" s="27" t="n">
        <v>39</v>
      </c>
      <c r="G526" s="27" t="n">
        <v>44</v>
      </c>
      <c r="H526" s="27" t="n">
        <v>22</v>
      </c>
      <c r="J526" s="27">
        <f>SUMPRODUCT(COUNTIFS(확률!$J$2:$J$46, 원본!B526:G526, 확률!$M$2:$M$46, "&lt;=20"))</f>
        <v/>
      </c>
      <c r="K526" s="27">
        <f>SUMPRODUCT(COUNTIFS(확률!$J$2:$J$46, 원본!B526:G526, 확률!$M$2:$M$46, "&gt;=36"))</f>
        <v/>
      </c>
      <c r="L526" s="27">
        <f>6-J526-K526</f>
        <v/>
      </c>
    </row>
    <row r="527" ht="16.5" customHeight="1" s="28">
      <c r="A527" s="31" t="n">
        <v>526</v>
      </c>
      <c r="B527" s="27" t="n">
        <v>7</v>
      </c>
      <c r="C527" s="27" t="n">
        <v>14</v>
      </c>
      <c r="D527" s="27" t="n">
        <v>17</v>
      </c>
      <c r="E527" s="27" t="n">
        <v>20</v>
      </c>
      <c r="F527" s="27" t="n">
        <v>35</v>
      </c>
      <c r="G527" s="27" t="n">
        <v>39</v>
      </c>
      <c r="H527" s="27" t="n">
        <v>31</v>
      </c>
      <c r="J527" s="27">
        <f>SUMPRODUCT(COUNTIFS(확률!$J$2:$J$46, 원본!B527:G527, 확률!$M$2:$M$46, "&lt;=20"))</f>
        <v/>
      </c>
      <c r="K527" s="27">
        <f>SUMPRODUCT(COUNTIFS(확률!$J$2:$J$46, 원본!B527:G527, 확률!$M$2:$M$46, "&gt;=36"))</f>
        <v/>
      </c>
      <c r="L527" s="27">
        <f>6-J527-K527</f>
        <v/>
      </c>
    </row>
    <row r="528" ht="16.5" customHeight="1" s="28">
      <c r="A528" s="31" t="n">
        <v>527</v>
      </c>
      <c r="B528" s="27" t="n">
        <v>1</v>
      </c>
      <c r="C528" s="27" t="n">
        <v>12</v>
      </c>
      <c r="D528" s="27" t="n">
        <v>22</v>
      </c>
      <c r="E528" s="27" t="n">
        <v>32</v>
      </c>
      <c r="F528" s="27" t="n">
        <v>33</v>
      </c>
      <c r="G528" s="27" t="n">
        <v>42</v>
      </c>
      <c r="H528" s="27" t="n">
        <v>38</v>
      </c>
      <c r="J528" s="27">
        <f>SUMPRODUCT(COUNTIFS(확률!$J$2:$J$46, 원본!B528:G528, 확률!$M$2:$M$46, "&lt;=20"))</f>
        <v/>
      </c>
      <c r="K528" s="27">
        <f>SUMPRODUCT(COUNTIFS(확률!$J$2:$J$46, 원본!B528:G528, 확률!$M$2:$M$46, "&gt;=36"))</f>
        <v/>
      </c>
      <c r="L528" s="27">
        <f>6-J528-K528</f>
        <v/>
      </c>
    </row>
    <row r="529" ht="16.5" customHeight="1" s="28">
      <c r="A529" s="31" t="n">
        <v>528</v>
      </c>
      <c r="B529" s="27" t="n">
        <v>5</v>
      </c>
      <c r="C529" s="27" t="n">
        <v>17</v>
      </c>
      <c r="D529" s="27" t="n">
        <v>25</v>
      </c>
      <c r="E529" s="27" t="n">
        <v>31</v>
      </c>
      <c r="F529" s="27" t="n">
        <v>39</v>
      </c>
      <c r="G529" s="27" t="n">
        <v>40</v>
      </c>
      <c r="H529" s="27" t="n">
        <v>10</v>
      </c>
      <c r="J529" s="27">
        <f>SUMPRODUCT(COUNTIFS(확률!$J$2:$J$46, 원본!B529:G529, 확률!$M$2:$M$46, "&lt;=20"))</f>
        <v/>
      </c>
      <c r="K529" s="27">
        <f>SUMPRODUCT(COUNTIFS(확률!$J$2:$J$46, 원본!B529:G529, 확률!$M$2:$M$46, "&gt;=36"))</f>
        <v/>
      </c>
      <c r="L529" s="27">
        <f>6-J529-K529</f>
        <v/>
      </c>
    </row>
    <row r="530" ht="16.5" customHeight="1" s="28">
      <c r="A530" s="31" t="n">
        <v>529</v>
      </c>
      <c r="B530" s="27" t="n">
        <v>18</v>
      </c>
      <c r="C530" s="27" t="n">
        <v>20</v>
      </c>
      <c r="D530" s="27" t="n">
        <v>24</v>
      </c>
      <c r="E530" s="27" t="n">
        <v>27</v>
      </c>
      <c r="F530" s="27" t="n">
        <v>31</v>
      </c>
      <c r="G530" s="27" t="n">
        <v>42</v>
      </c>
      <c r="H530" s="27" t="n">
        <v>39</v>
      </c>
      <c r="J530" s="27">
        <f>SUMPRODUCT(COUNTIFS(확률!$J$2:$J$46, 원본!B530:G530, 확률!$M$2:$M$46, "&lt;=20"))</f>
        <v/>
      </c>
      <c r="K530" s="27">
        <f>SUMPRODUCT(COUNTIFS(확률!$J$2:$J$46, 원본!B530:G530, 확률!$M$2:$M$46, "&gt;=36"))</f>
        <v/>
      </c>
      <c r="L530" s="27">
        <f>6-J530-K530</f>
        <v/>
      </c>
    </row>
    <row r="531" ht="16.5" customHeight="1" s="28">
      <c r="A531" s="31" t="n">
        <v>530</v>
      </c>
      <c r="B531" s="27" t="n">
        <v>16</v>
      </c>
      <c r="C531" s="27" t="n">
        <v>23</v>
      </c>
      <c r="D531" s="27" t="n">
        <v>27</v>
      </c>
      <c r="E531" s="27" t="n">
        <v>29</v>
      </c>
      <c r="F531" s="27" t="n">
        <v>33</v>
      </c>
      <c r="G531" s="27" t="n">
        <v>41</v>
      </c>
      <c r="H531" s="27" t="n">
        <v>22</v>
      </c>
      <c r="J531" s="27">
        <f>SUMPRODUCT(COUNTIFS(확률!$J$2:$J$46, 원본!B531:G531, 확률!$M$2:$M$46, "&lt;=20"))</f>
        <v/>
      </c>
      <c r="K531" s="27">
        <f>SUMPRODUCT(COUNTIFS(확률!$J$2:$J$46, 원본!B531:G531, 확률!$M$2:$M$46, "&gt;=36"))</f>
        <v/>
      </c>
      <c r="L531" s="27">
        <f>6-J531-K531</f>
        <v/>
      </c>
    </row>
    <row r="532" ht="16.5" customHeight="1" s="28">
      <c r="A532" s="31" t="n">
        <v>531</v>
      </c>
      <c r="B532" s="27" t="n">
        <v>1</v>
      </c>
      <c r="C532" s="27" t="n">
        <v>5</v>
      </c>
      <c r="D532" s="27" t="n">
        <v>9</v>
      </c>
      <c r="E532" s="27" t="n">
        <v>21</v>
      </c>
      <c r="F532" s="27" t="n">
        <v>27</v>
      </c>
      <c r="G532" s="27" t="n">
        <v>35</v>
      </c>
      <c r="H532" s="27" t="n">
        <v>45</v>
      </c>
      <c r="J532" s="27">
        <f>SUMPRODUCT(COUNTIFS(확률!$J$2:$J$46, 원본!B532:G532, 확률!$M$2:$M$46, "&lt;=20"))</f>
        <v/>
      </c>
      <c r="K532" s="27">
        <f>SUMPRODUCT(COUNTIFS(확률!$J$2:$J$46, 원본!B532:G532, 확률!$M$2:$M$46, "&gt;=36"))</f>
        <v/>
      </c>
      <c r="L532" s="27">
        <f>6-J532-K532</f>
        <v/>
      </c>
    </row>
    <row r="533" ht="16.5" customHeight="1" s="28">
      <c r="A533" s="31" t="n">
        <v>532</v>
      </c>
      <c r="B533" s="27" t="n">
        <v>16</v>
      </c>
      <c r="C533" s="27" t="n">
        <v>17</v>
      </c>
      <c r="D533" s="27" t="n">
        <v>23</v>
      </c>
      <c r="E533" s="27" t="n">
        <v>24</v>
      </c>
      <c r="F533" s="27" t="n">
        <v>29</v>
      </c>
      <c r="G533" s="27" t="n">
        <v>44</v>
      </c>
      <c r="H533" s="27" t="n">
        <v>3</v>
      </c>
      <c r="J533" s="27">
        <f>SUMPRODUCT(COUNTIFS(확률!$J$2:$J$46, 원본!B533:G533, 확률!$M$2:$M$46, "&lt;=20"))</f>
        <v/>
      </c>
      <c r="K533" s="27">
        <f>SUMPRODUCT(COUNTIFS(확률!$J$2:$J$46, 원본!B533:G533, 확률!$M$2:$M$46, "&gt;=36"))</f>
        <v/>
      </c>
      <c r="L533" s="27">
        <f>6-J533-K533</f>
        <v/>
      </c>
    </row>
    <row r="534" ht="16.5" customHeight="1" s="28">
      <c r="A534" s="31" t="n">
        <v>533</v>
      </c>
      <c r="B534" s="27" t="n">
        <v>9</v>
      </c>
      <c r="C534" s="27" t="n">
        <v>14</v>
      </c>
      <c r="D534" s="27" t="n">
        <v>15</v>
      </c>
      <c r="E534" s="27" t="n">
        <v>17</v>
      </c>
      <c r="F534" s="27" t="n">
        <v>31</v>
      </c>
      <c r="G534" s="27" t="n">
        <v>33</v>
      </c>
      <c r="H534" s="27" t="n">
        <v>23</v>
      </c>
      <c r="J534" s="27">
        <f>SUMPRODUCT(COUNTIFS(확률!$J$2:$J$46, 원본!B534:G534, 확률!$M$2:$M$46, "&lt;=20"))</f>
        <v/>
      </c>
      <c r="K534" s="27">
        <f>SUMPRODUCT(COUNTIFS(확률!$J$2:$J$46, 원본!B534:G534, 확률!$M$2:$M$46, "&gt;=36"))</f>
        <v/>
      </c>
      <c r="L534" s="27">
        <f>6-J534-K534</f>
        <v/>
      </c>
    </row>
    <row r="535" ht="16.5" customHeight="1" s="28">
      <c r="A535" s="31" t="n">
        <v>534</v>
      </c>
      <c r="B535" s="27" t="n">
        <v>10</v>
      </c>
      <c r="C535" s="27" t="n">
        <v>24</v>
      </c>
      <c r="D535" s="27" t="n">
        <v>26</v>
      </c>
      <c r="E535" s="27" t="n">
        <v>29</v>
      </c>
      <c r="F535" s="27" t="n">
        <v>37</v>
      </c>
      <c r="G535" s="27" t="n">
        <v>38</v>
      </c>
      <c r="H535" s="27" t="n">
        <v>32</v>
      </c>
      <c r="J535" s="27">
        <f>SUMPRODUCT(COUNTIFS(확률!$J$2:$J$46, 원본!B535:G535, 확률!$M$2:$M$46, "&lt;=20"))</f>
        <v/>
      </c>
      <c r="K535" s="27">
        <f>SUMPRODUCT(COUNTIFS(확률!$J$2:$J$46, 원본!B535:G535, 확률!$M$2:$M$46, "&gt;=36"))</f>
        <v/>
      </c>
      <c r="L535" s="27">
        <f>6-J535-K535</f>
        <v/>
      </c>
    </row>
    <row r="536" ht="16.5" customHeight="1" s="28">
      <c r="A536" s="31" t="n">
        <v>535</v>
      </c>
      <c r="B536" s="27" t="n">
        <v>11</v>
      </c>
      <c r="C536" s="27" t="n">
        <v>12</v>
      </c>
      <c r="D536" s="27" t="n">
        <v>14</v>
      </c>
      <c r="E536" s="27" t="n">
        <v>15</v>
      </c>
      <c r="F536" s="27" t="n">
        <v>18</v>
      </c>
      <c r="G536" s="27" t="n">
        <v>39</v>
      </c>
      <c r="H536" s="27" t="n">
        <v>34</v>
      </c>
      <c r="J536" s="27">
        <f>SUMPRODUCT(COUNTIFS(확률!$J$2:$J$46, 원본!B536:G536, 확률!$M$2:$M$46, "&lt;=20"))</f>
        <v/>
      </c>
      <c r="K536" s="27">
        <f>SUMPRODUCT(COUNTIFS(확률!$J$2:$J$46, 원본!B536:G536, 확률!$M$2:$M$46, "&gt;=36"))</f>
        <v/>
      </c>
      <c r="L536" s="27">
        <f>6-J536-K536</f>
        <v/>
      </c>
    </row>
    <row r="537" ht="16.5" customHeight="1" s="28">
      <c r="A537" s="31" t="n">
        <v>536</v>
      </c>
      <c r="B537" s="27" t="n">
        <v>7</v>
      </c>
      <c r="C537" s="27" t="n">
        <v>8</v>
      </c>
      <c r="D537" s="27" t="n">
        <v>18</v>
      </c>
      <c r="E537" s="27" t="n">
        <v>32</v>
      </c>
      <c r="F537" s="27" t="n">
        <v>37</v>
      </c>
      <c r="G537" s="27" t="n">
        <v>43</v>
      </c>
      <c r="H537" s="27" t="n">
        <v>12</v>
      </c>
      <c r="J537" s="27">
        <f>SUMPRODUCT(COUNTIFS(확률!$J$2:$J$46, 원본!B537:G537, 확률!$M$2:$M$46, "&lt;=20"))</f>
        <v/>
      </c>
      <c r="K537" s="27">
        <f>SUMPRODUCT(COUNTIFS(확률!$J$2:$J$46, 원본!B537:G537, 확률!$M$2:$M$46, "&gt;=36"))</f>
        <v/>
      </c>
      <c r="L537" s="27">
        <f>6-J537-K537</f>
        <v/>
      </c>
    </row>
    <row r="538" ht="16.5" customHeight="1" s="28">
      <c r="A538" s="31" t="n">
        <v>537</v>
      </c>
      <c r="B538" s="27" t="n">
        <v>12</v>
      </c>
      <c r="C538" s="27" t="n">
        <v>23</v>
      </c>
      <c r="D538" s="27" t="n">
        <v>26</v>
      </c>
      <c r="E538" s="27" t="n">
        <v>30</v>
      </c>
      <c r="F538" s="27" t="n">
        <v>36</v>
      </c>
      <c r="G538" s="27" t="n">
        <v>43</v>
      </c>
      <c r="H538" s="27" t="n">
        <v>11</v>
      </c>
      <c r="J538" s="27">
        <f>SUMPRODUCT(COUNTIFS(확률!$J$2:$J$46, 원본!B538:G538, 확률!$M$2:$M$46, "&lt;=20"))</f>
        <v/>
      </c>
      <c r="K538" s="27">
        <f>SUMPRODUCT(COUNTIFS(확률!$J$2:$J$46, 원본!B538:G538, 확률!$M$2:$M$46, "&gt;=36"))</f>
        <v/>
      </c>
      <c r="L538" s="27">
        <f>6-J538-K538</f>
        <v/>
      </c>
    </row>
    <row r="539" ht="16.5" customHeight="1" s="28">
      <c r="A539" s="31" t="n">
        <v>538</v>
      </c>
      <c r="B539" s="27" t="n">
        <v>6</v>
      </c>
      <c r="C539" s="27" t="n">
        <v>10</v>
      </c>
      <c r="D539" s="27" t="n">
        <v>18</v>
      </c>
      <c r="E539" s="27" t="n">
        <v>31</v>
      </c>
      <c r="F539" s="27" t="n">
        <v>32</v>
      </c>
      <c r="G539" s="27" t="n">
        <v>34</v>
      </c>
      <c r="H539" s="27" t="n">
        <v>11</v>
      </c>
      <c r="J539" s="27">
        <f>SUMPRODUCT(COUNTIFS(확률!$J$2:$J$46, 원본!B539:G539, 확률!$M$2:$M$46, "&lt;=20"))</f>
        <v/>
      </c>
      <c r="K539" s="27">
        <f>SUMPRODUCT(COUNTIFS(확률!$J$2:$J$46, 원본!B539:G539, 확률!$M$2:$M$46, "&gt;=36"))</f>
        <v/>
      </c>
      <c r="L539" s="27">
        <f>6-J539-K539</f>
        <v/>
      </c>
    </row>
    <row r="540" ht="16.5" customHeight="1" s="28">
      <c r="A540" s="31" t="n">
        <v>539</v>
      </c>
      <c r="B540" s="27" t="n">
        <v>3</v>
      </c>
      <c r="C540" s="27" t="n">
        <v>19</v>
      </c>
      <c r="D540" s="27" t="n">
        <v>22</v>
      </c>
      <c r="E540" s="27" t="n">
        <v>31</v>
      </c>
      <c r="F540" s="27" t="n">
        <v>42</v>
      </c>
      <c r="G540" s="27" t="n">
        <v>43</v>
      </c>
      <c r="H540" s="27" t="n">
        <v>26</v>
      </c>
      <c r="J540" s="27">
        <f>SUMPRODUCT(COUNTIFS(확률!$J$2:$J$46, 원본!B540:G540, 확률!$M$2:$M$46, "&lt;=20"))</f>
        <v/>
      </c>
      <c r="K540" s="27">
        <f>SUMPRODUCT(COUNTIFS(확률!$J$2:$J$46, 원본!B540:G540, 확률!$M$2:$M$46, "&gt;=36"))</f>
        <v/>
      </c>
      <c r="L540" s="27">
        <f>6-J540-K540</f>
        <v/>
      </c>
    </row>
    <row r="541" ht="16.5" customHeight="1" s="28">
      <c r="A541" s="31" t="n">
        <v>540</v>
      </c>
      <c r="B541" s="27" t="n">
        <v>3</v>
      </c>
      <c r="C541" s="27" t="n">
        <v>12</v>
      </c>
      <c r="D541" s="27" t="n">
        <v>13</v>
      </c>
      <c r="E541" s="27" t="n">
        <v>15</v>
      </c>
      <c r="F541" s="27" t="n">
        <v>34</v>
      </c>
      <c r="G541" s="27" t="n">
        <v>36</v>
      </c>
      <c r="H541" s="27" t="n">
        <v>14</v>
      </c>
      <c r="J541" s="27">
        <f>SUMPRODUCT(COUNTIFS(확률!$J$2:$J$46, 원본!B541:G541, 확률!$M$2:$M$46, "&lt;=20"))</f>
        <v/>
      </c>
      <c r="K541" s="27">
        <f>SUMPRODUCT(COUNTIFS(확률!$J$2:$J$46, 원본!B541:G541, 확률!$M$2:$M$46, "&gt;=36"))</f>
        <v/>
      </c>
      <c r="L541" s="27">
        <f>6-J541-K541</f>
        <v/>
      </c>
    </row>
    <row r="542" ht="16.5" customHeight="1" s="28">
      <c r="A542" s="31" t="n">
        <v>541</v>
      </c>
      <c r="B542" s="27" t="n">
        <v>8</v>
      </c>
      <c r="C542" s="27" t="n">
        <v>13</v>
      </c>
      <c r="D542" s="27" t="n">
        <v>26</v>
      </c>
      <c r="E542" s="27" t="n">
        <v>28</v>
      </c>
      <c r="F542" s="27" t="n">
        <v>32</v>
      </c>
      <c r="G542" s="27" t="n">
        <v>34</v>
      </c>
      <c r="H542" s="27" t="n">
        <v>43</v>
      </c>
      <c r="J542" s="27">
        <f>SUMPRODUCT(COUNTIFS(확률!$J$2:$J$46, 원본!B542:G542, 확률!$M$2:$M$46, "&lt;=20"))</f>
        <v/>
      </c>
      <c r="K542" s="27">
        <f>SUMPRODUCT(COUNTIFS(확률!$J$2:$J$46, 원본!B542:G542, 확률!$M$2:$M$46, "&gt;=36"))</f>
        <v/>
      </c>
      <c r="L542" s="27">
        <f>6-J542-K542</f>
        <v/>
      </c>
    </row>
    <row r="543" ht="16.5" customHeight="1" s="28">
      <c r="A543" s="31" t="n">
        <v>542</v>
      </c>
      <c r="B543" s="27" t="n">
        <v>5</v>
      </c>
      <c r="C543" s="27" t="n">
        <v>6</v>
      </c>
      <c r="D543" s="27" t="n">
        <v>19</v>
      </c>
      <c r="E543" s="27" t="n">
        <v>26</v>
      </c>
      <c r="F543" s="27" t="n">
        <v>41</v>
      </c>
      <c r="G543" s="27" t="n">
        <v>45</v>
      </c>
      <c r="H543" s="27" t="n">
        <v>34</v>
      </c>
      <c r="J543" s="27">
        <f>SUMPRODUCT(COUNTIFS(확률!$J$2:$J$46, 원본!B543:G543, 확률!$M$2:$M$46, "&lt;=20"))</f>
        <v/>
      </c>
      <c r="K543" s="27">
        <f>SUMPRODUCT(COUNTIFS(확률!$J$2:$J$46, 원본!B543:G543, 확률!$M$2:$M$46, "&gt;=36"))</f>
        <v/>
      </c>
      <c r="L543" s="27">
        <f>6-J543-K543</f>
        <v/>
      </c>
    </row>
    <row r="544" ht="16.5" customHeight="1" s="28">
      <c r="A544" s="31" t="n">
        <v>543</v>
      </c>
      <c r="B544" s="27" t="n">
        <v>13</v>
      </c>
      <c r="C544" s="27" t="n">
        <v>18</v>
      </c>
      <c r="D544" s="27" t="n">
        <v>26</v>
      </c>
      <c r="E544" s="27" t="n">
        <v>31</v>
      </c>
      <c r="F544" s="27" t="n">
        <v>34</v>
      </c>
      <c r="G544" s="27" t="n">
        <v>44</v>
      </c>
      <c r="H544" s="27" t="n">
        <v>12</v>
      </c>
      <c r="J544" s="27">
        <f>SUMPRODUCT(COUNTIFS(확률!$J$2:$J$46, 원본!B544:G544, 확률!$M$2:$M$46, "&lt;=20"))</f>
        <v/>
      </c>
      <c r="K544" s="27">
        <f>SUMPRODUCT(COUNTIFS(확률!$J$2:$J$46, 원본!B544:G544, 확률!$M$2:$M$46, "&gt;=36"))</f>
        <v/>
      </c>
      <c r="L544" s="27">
        <f>6-J544-K544</f>
        <v/>
      </c>
    </row>
    <row r="545" ht="16.5" customHeight="1" s="28">
      <c r="A545" s="31" t="n">
        <v>544</v>
      </c>
      <c r="B545" s="27" t="n">
        <v>5</v>
      </c>
      <c r="C545" s="27" t="n">
        <v>17</v>
      </c>
      <c r="D545" s="27" t="n">
        <v>21</v>
      </c>
      <c r="E545" s="27" t="n">
        <v>25</v>
      </c>
      <c r="F545" s="27" t="n">
        <v>36</v>
      </c>
      <c r="G545" s="27" t="n">
        <v>44</v>
      </c>
      <c r="H545" s="27" t="n">
        <v>10</v>
      </c>
      <c r="J545" s="27">
        <f>SUMPRODUCT(COUNTIFS(확률!$J$2:$J$46, 원본!B545:G545, 확률!$M$2:$M$46, "&lt;=20"))</f>
        <v/>
      </c>
      <c r="K545" s="27">
        <f>SUMPRODUCT(COUNTIFS(확률!$J$2:$J$46, 원본!B545:G545, 확률!$M$2:$M$46, "&gt;=36"))</f>
        <v/>
      </c>
      <c r="L545" s="27">
        <f>6-J545-K545</f>
        <v/>
      </c>
    </row>
    <row r="546" ht="16.5" customHeight="1" s="28">
      <c r="A546" s="31" t="n">
        <v>545</v>
      </c>
      <c r="B546" s="27" t="n">
        <v>4</v>
      </c>
      <c r="C546" s="27" t="n">
        <v>24</v>
      </c>
      <c r="D546" s="27" t="n">
        <v>25</v>
      </c>
      <c r="E546" s="27" t="n">
        <v>27</v>
      </c>
      <c r="F546" s="27" t="n">
        <v>34</v>
      </c>
      <c r="G546" s="27" t="n">
        <v>35</v>
      </c>
      <c r="H546" s="27" t="n">
        <v>2</v>
      </c>
      <c r="J546" s="27">
        <f>SUMPRODUCT(COUNTIFS(확률!$J$2:$J$46, 원본!B546:G546, 확률!$M$2:$M$46, "&lt;=20"))</f>
        <v/>
      </c>
      <c r="K546" s="27">
        <f>SUMPRODUCT(COUNTIFS(확률!$J$2:$J$46, 원본!B546:G546, 확률!$M$2:$M$46, "&gt;=36"))</f>
        <v/>
      </c>
      <c r="L546" s="27">
        <f>6-J546-K546</f>
        <v/>
      </c>
    </row>
    <row r="547" ht="16.5" customHeight="1" s="28">
      <c r="A547" s="31" t="n">
        <v>546</v>
      </c>
      <c r="B547" s="27" t="n">
        <v>8</v>
      </c>
      <c r="C547" s="27" t="n">
        <v>17</v>
      </c>
      <c r="D547" s="27" t="n">
        <v>20</v>
      </c>
      <c r="E547" s="27" t="n">
        <v>27</v>
      </c>
      <c r="F547" s="27" t="n">
        <v>37</v>
      </c>
      <c r="G547" s="27" t="n">
        <v>43</v>
      </c>
      <c r="H547" s="27" t="n">
        <v>6</v>
      </c>
      <c r="J547" s="27">
        <f>SUMPRODUCT(COUNTIFS(확률!$J$2:$J$46, 원본!B547:G547, 확률!$M$2:$M$46, "&lt;=20"))</f>
        <v/>
      </c>
      <c r="K547" s="27">
        <f>SUMPRODUCT(COUNTIFS(확률!$J$2:$J$46, 원본!B547:G547, 확률!$M$2:$M$46, "&gt;=36"))</f>
        <v/>
      </c>
      <c r="L547" s="27">
        <f>6-J547-K547</f>
        <v/>
      </c>
    </row>
    <row r="548" ht="16.5" customHeight="1" s="28">
      <c r="A548" s="31" t="n">
        <v>547</v>
      </c>
      <c r="B548" s="27" t="n">
        <v>6</v>
      </c>
      <c r="C548" s="27" t="n">
        <v>7</v>
      </c>
      <c r="D548" s="27" t="n">
        <v>15</v>
      </c>
      <c r="E548" s="27" t="n">
        <v>22</v>
      </c>
      <c r="F548" s="27" t="n">
        <v>34</v>
      </c>
      <c r="G548" s="27" t="n">
        <v>39</v>
      </c>
      <c r="H548" s="27" t="n">
        <v>28</v>
      </c>
      <c r="J548" s="27">
        <f>SUMPRODUCT(COUNTIFS(확률!$J$2:$J$46, 원본!B548:G548, 확률!$M$2:$M$46, "&lt;=20"))</f>
        <v/>
      </c>
      <c r="K548" s="27">
        <f>SUMPRODUCT(COUNTIFS(확률!$J$2:$J$46, 원본!B548:G548, 확률!$M$2:$M$46, "&gt;=36"))</f>
        <v/>
      </c>
      <c r="L548" s="27">
        <f>6-J548-K548</f>
        <v/>
      </c>
    </row>
    <row r="549" ht="16.5" customHeight="1" s="28">
      <c r="A549" s="31" t="n">
        <v>548</v>
      </c>
      <c r="B549" s="27" t="n">
        <v>1</v>
      </c>
      <c r="C549" s="27" t="n">
        <v>12</v>
      </c>
      <c r="D549" s="27" t="n">
        <v>13</v>
      </c>
      <c r="E549" s="27" t="n">
        <v>21</v>
      </c>
      <c r="F549" s="27" t="n">
        <v>32</v>
      </c>
      <c r="G549" s="27" t="n">
        <v>45</v>
      </c>
      <c r="H549" s="27" t="n">
        <v>14</v>
      </c>
      <c r="J549" s="27">
        <f>SUMPRODUCT(COUNTIFS(확률!$J$2:$J$46, 원본!B549:G549, 확률!$M$2:$M$46, "&lt;=20"))</f>
        <v/>
      </c>
      <c r="K549" s="27">
        <f>SUMPRODUCT(COUNTIFS(확률!$J$2:$J$46, 원본!B549:G549, 확률!$M$2:$M$46, "&gt;=36"))</f>
        <v/>
      </c>
      <c r="L549" s="27">
        <f>6-J549-K549</f>
        <v/>
      </c>
    </row>
    <row r="550" ht="16.5" customHeight="1" s="28">
      <c r="A550" s="31" t="n">
        <v>549</v>
      </c>
      <c r="B550" s="27" t="n">
        <v>29</v>
      </c>
      <c r="C550" s="27" t="n">
        <v>31</v>
      </c>
      <c r="D550" s="27" t="n">
        <v>35</v>
      </c>
      <c r="E550" s="27" t="n">
        <v>38</v>
      </c>
      <c r="F550" s="27" t="n">
        <v>40</v>
      </c>
      <c r="G550" s="27" t="n">
        <v>44</v>
      </c>
      <c r="H550" s="27" t="n">
        <v>17</v>
      </c>
      <c r="J550" s="27">
        <f>SUMPRODUCT(COUNTIFS(확률!$J$2:$J$46, 원본!B550:G550, 확률!$M$2:$M$46, "&lt;=20"))</f>
        <v/>
      </c>
      <c r="K550" s="27">
        <f>SUMPRODUCT(COUNTIFS(확률!$J$2:$J$46, 원본!B550:G550, 확률!$M$2:$M$46, "&gt;=36"))</f>
        <v/>
      </c>
      <c r="L550" s="27">
        <f>6-J550-K550</f>
        <v/>
      </c>
    </row>
    <row r="551" ht="16.5" customHeight="1" s="28">
      <c r="A551" s="31" t="n">
        <v>550</v>
      </c>
      <c r="B551" s="27" t="n">
        <v>1</v>
      </c>
      <c r="C551" s="27" t="n">
        <v>7</v>
      </c>
      <c r="D551" s="27" t="n">
        <v>14</v>
      </c>
      <c r="E551" s="27" t="n">
        <v>20</v>
      </c>
      <c r="F551" s="27" t="n">
        <v>34</v>
      </c>
      <c r="G551" s="27" t="n">
        <v>37</v>
      </c>
      <c r="H551" s="27" t="n">
        <v>41</v>
      </c>
      <c r="J551" s="27">
        <f>SUMPRODUCT(COUNTIFS(확률!$J$2:$J$46, 원본!B551:G551, 확률!$M$2:$M$46, "&lt;=20"))</f>
        <v/>
      </c>
      <c r="K551" s="27">
        <f>SUMPRODUCT(COUNTIFS(확률!$J$2:$J$46, 원본!B551:G551, 확률!$M$2:$M$46, "&gt;=36"))</f>
        <v/>
      </c>
      <c r="L551" s="27">
        <f>6-J551-K551</f>
        <v/>
      </c>
    </row>
    <row r="552" ht="16.5" customHeight="1" s="28">
      <c r="A552" s="31" t="n">
        <v>551</v>
      </c>
      <c r="B552" s="27" t="n">
        <v>3</v>
      </c>
      <c r="C552" s="27" t="n">
        <v>6</v>
      </c>
      <c r="D552" s="27" t="n">
        <v>20</v>
      </c>
      <c r="E552" s="27" t="n">
        <v>24</v>
      </c>
      <c r="F552" s="27" t="n">
        <v>27</v>
      </c>
      <c r="G552" s="27" t="n">
        <v>44</v>
      </c>
      <c r="H552" s="27" t="n">
        <v>25</v>
      </c>
      <c r="J552" s="27">
        <f>SUMPRODUCT(COUNTIFS(확률!$J$2:$J$46, 원본!B552:G552, 확률!$M$2:$M$46, "&lt;=20"))</f>
        <v/>
      </c>
      <c r="K552" s="27">
        <f>SUMPRODUCT(COUNTIFS(확률!$J$2:$J$46, 원본!B552:G552, 확률!$M$2:$M$46, "&gt;=36"))</f>
        <v/>
      </c>
      <c r="L552" s="27">
        <f>6-J552-K552</f>
        <v/>
      </c>
    </row>
    <row r="553" ht="16.5" customHeight="1" s="28">
      <c r="A553" s="31" t="n">
        <v>552</v>
      </c>
      <c r="B553" s="27" t="n">
        <v>1</v>
      </c>
      <c r="C553" s="27" t="n">
        <v>10</v>
      </c>
      <c r="D553" s="27" t="n">
        <v>20</v>
      </c>
      <c r="E553" s="27" t="n">
        <v>32</v>
      </c>
      <c r="F553" s="27" t="n">
        <v>35</v>
      </c>
      <c r="G553" s="27" t="n">
        <v>40</v>
      </c>
      <c r="H553" s="27" t="n">
        <v>43</v>
      </c>
      <c r="J553" s="27">
        <f>SUMPRODUCT(COUNTIFS(확률!$J$2:$J$46, 원본!B553:G553, 확률!$M$2:$M$46, "&lt;=20"))</f>
        <v/>
      </c>
      <c r="K553" s="27">
        <f>SUMPRODUCT(COUNTIFS(확률!$J$2:$J$46, 원본!B553:G553, 확률!$M$2:$M$46, "&gt;=36"))</f>
        <v/>
      </c>
      <c r="L553" s="27">
        <f>6-J553-K553</f>
        <v/>
      </c>
    </row>
    <row r="554" ht="16.5" customHeight="1" s="28">
      <c r="A554" s="31" t="n">
        <v>553</v>
      </c>
      <c r="B554" s="27" t="n">
        <v>2</v>
      </c>
      <c r="C554" s="27" t="n">
        <v>7</v>
      </c>
      <c r="D554" s="27" t="n">
        <v>17</v>
      </c>
      <c r="E554" s="27" t="n">
        <v>28</v>
      </c>
      <c r="F554" s="27" t="n">
        <v>29</v>
      </c>
      <c r="G554" s="27" t="n">
        <v>39</v>
      </c>
      <c r="H554" s="27" t="n">
        <v>37</v>
      </c>
      <c r="J554" s="27">
        <f>SUMPRODUCT(COUNTIFS(확률!$J$2:$J$46, 원본!B554:G554, 확률!$M$2:$M$46, "&lt;=20"))</f>
        <v/>
      </c>
      <c r="K554" s="27">
        <f>SUMPRODUCT(COUNTIFS(확률!$J$2:$J$46, 원본!B554:G554, 확률!$M$2:$M$46, "&gt;=36"))</f>
        <v/>
      </c>
      <c r="L554" s="27">
        <f>6-J554-K554</f>
        <v/>
      </c>
    </row>
    <row r="555" ht="16.5" customHeight="1" s="28">
      <c r="A555" s="31" t="n">
        <v>554</v>
      </c>
      <c r="B555" s="27" t="n">
        <v>13</v>
      </c>
      <c r="C555" s="27" t="n">
        <v>14</v>
      </c>
      <c r="D555" s="27" t="n">
        <v>17</v>
      </c>
      <c r="E555" s="27" t="n">
        <v>32</v>
      </c>
      <c r="F555" s="27" t="n">
        <v>41</v>
      </c>
      <c r="G555" s="27" t="n">
        <v>42</v>
      </c>
      <c r="H555" s="27" t="n">
        <v>6</v>
      </c>
      <c r="J555" s="27">
        <f>SUMPRODUCT(COUNTIFS(확률!$J$2:$J$46, 원본!B555:G555, 확률!$M$2:$M$46, "&lt;=20"))</f>
        <v/>
      </c>
      <c r="K555" s="27">
        <f>SUMPRODUCT(COUNTIFS(확률!$J$2:$J$46, 원본!B555:G555, 확률!$M$2:$M$46, "&gt;=36"))</f>
        <v/>
      </c>
      <c r="L555" s="27">
        <f>6-J555-K555</f>
        <v/>
      </c>
    </row>
    <row r="556" ht="16.5" customHeight="1" s="28">
      <c r="A556" s="31" t="n">
        <v>555</v>
      </c>
      <c r="B556" s="27" t="n">
        <v>11</v>
      </c>
      <c r="C556" s="27" t="n">
        <v>17</v>
      </c>
      <c r="D556" s="27" t="n">
        <v>21</v>
      </c>
      <c r="E556" s="27" t="n">
        <v>24</v>
      </c>
      <c r="F556" s="27" t="n">
        <v>26</v>
      </c>
      <c r="G556" s="27" t="n">
        <v>36</v>
      </c>
      <c r="H556" s="27" t="n">
        <v>12</v>
      </c>
      <c r="J556" s="27">
        <f>SUMPRODUCT(COUNTIFS(확률!$J$2:$J$46, 원본!B556:G556, 확률!$M$2:$M$46, "&lt;=20"))</f>
        <v/>
      </c>
      <c r="K556" s="27">
        <f>SUMPRODUCT(COUNTIFS(확률!$J$2:$J$46, 원본!B556:G556, 확률!$M$2:$M$46, "&gt;=36"))</f>
        <v/>
      </c>
      <c r="L556" s="27">
        <f>6-J556-K556</f>
        <v/>
      </c>
    </row>
    <row r="557" ht="16.5" customHeight="1" s="28">
      <c r="A557" s="31" t="n">
        <v>556</v>
      </c>
      <c r="B557" s="27" t="n">
        <v>12</v>
      </c>
      <c r="C557" s="27" t="n">
        <v>20</v>
      </c>
      <c r="D557" s="27" t="n">
        <v>23</v>
      </c>
      <c r="E557" s="27" t="n">
        <v>28</v>
      </c>
      <c r="F557" s="27" t="n">
        <v>30</v>
      </c>
      <c r="G557" s="27" t="n">
        <v>44</v>
      </c>
      <c r="H557" s="27" t="n">
        <v>43</v>
      </c>
      <c r="J557" s="27">
        <f>SUMPRODUCT(COUNTIFS(확률!$J$2:$J$46, 원본!B557:G557, 확률!$M$2:$M$46, "&lt;=20"))</f>
        <v/>
      </c>
      <c r="K557" s="27">
        <f>SUMPRODUCT(COUNTIFS(확률!$J$2:$J$46, 원본!B557:G557, 확률!$M$2:$M$46, "&gt;=36"))</f>
        <v/>
      </c>
      <c r="L557" s="27">
        <f>6-J557-K557</f>
        <v/>
      </c>
    </row>
    <row r="558" ht="16.5" customHeight="1" s="28">
      <c r="A558" s="31" t="n">
        <v>557</v>
      </c>
      <c r="B558" s="27" t="n">
        <v>4</v>
      </c>
      <c r="C558" s="27" t="n">
        <v>20</v>
      </c>
      <c r="D558" s="27" t="n">
        <v>26</v>
      </c>
      <c r="E558" s="27" t="n">
        <v>28</v>
      </c>
      <c r="F558" s="27" t="n">
        <v>35</v>
      </c>
      <c r="G558" s="27" t="n">
        <v>40</v>
      </c>
      <c r="H558" s="27" t="n">
        <v>31</v>
      </c>
      <c r="J558" s="27">
        <f>SUMPRODUCT(COUNTIFS(확률!$J$2:$J$46, 원본!B558:G558, 확률!$M$2:$M$46, "&lt;=20"))</f>
        <v/>
      </c>
      <c r="K558" s="27">
        <f>SUMPRODUCT(COUNTIFS(확률!$J$2:$J$46, 원본!B558:G558, 확률!$M$2:$M$46, "&gt;=36"))</f>
        <v/>
      </c>
      <c r="L558" s="27">
        <f>6-J558-K558</f>
        <v/>
      </c>
    </row>
    <row r="559" ht="16.5" customHeight="1" s="28">
      <c r="A559" s="31" t="n">
        <v>558</v>
      </c>
      <c r="B559" s="27" t="n">
        <v>12</v>
      </c>
      <c r="C559" s="27" t="n">
        <v>15</v>
      </c>
      <c r="D559" s="27" t="n">
        <v>19</v>
      </c>
      <c r="E559" s="27" t="n">
        <v>26</v>
      </c>
      <c r="F559" s="27" t="n">
        <v>40</v>
      </c>
      <c r="G559" s="27" t="n">
        <v>43</v>
      </c>
      <c r="H559" s="27" t="n">
        <v>29</v>
      </c>
      <c r="J559" s="27">
        <f>SUMPRODUCT(COUNTIFS(확률!$J$2:$J$46, 원본!B559:G559, 확률!$M$2:$M$46, "&lt;=20"))</f>
        <v/>
      </c>
      <c r="K559" s="27">
        <f>SUMPRODUCT(COUNTIFS(확률!$J$2:$J$46, 원본!B559:G559, 확률!$M$2:$M$46, "&gt;=36"))</f>
        <v/>
      </c>
      <c r="L559" s="27">
        <f>6-J559-K559</f>
        <v/>
      </c>
    </row>
    <row r="560" ht="16.5" customHeight="1" s="28">
      <c r="A560" s="31" t="n">
        <v>559</v>
      </c>
      <c r="B560" s="27" t="n">
        <v>11</v>
      </c>
      <c r="C560" s="27" t="n">
        <v>12</v>
      </c>
      <c r="D560" s="27" t="n">
        <v>25</v>
      </c>
      <c r="E560" s="27" t="n">
        <v>32</v>
      </c>
      <c r="F560" s="27" t="n">
        <v>44</v>
      </c>
      <c r="G560" s="27" t="n">
        <v>45</v>
      </c>
      <c r="H560" s="27" t="n">
        <v>23</v>
      </c>
      <c r="J560" s="27">
        <f>SUMPRODUCT(COUNTIFS(확률!$J$2:$J$46, 원본!B560:G560, 확률!$M$2:$M$46, "&lt;=20"))</f>
        <v/>
      </c>
      <c r="K560" s="27">
        <f>SUMPRODUCT(COUNTIFS(확률!$J$2:$J$46, 원본!B560:G560, 확률!$M$2:$M$46, "&gt;=36"))</f>
        <v/>
      </c>
      <c r="L560" s="27">
        <f>6-J560-K560</f>
        <v/>
      </c>
    </row>
    <row r="561" ht="16.5" customHeight="1" s="28">
      <c r="A561" s="31" t="n">
        <v>560</v>
      </c>
      <c r="B561" s="27" t="n">
        <v>1</v>
      </c>
      <c r="C561" s="27" t="n">
        <v>4</v>
      </c>
      <c r="D561" s="27" t="n">
        <v>20</v>
      </c>
      <c r="E561" s="27" t="n">
        <v>23</v>
      </c>
      <c r="F561" s="27" t="n">
        <v>29</v>
      </c>
      <c r="G561" s="27" t="n">
        <v>45</v>
      </c>
      <c r="H561" s="27" t="n">
        <v>28</v>
      </c>
      <c r="J561" s="27">
        <f>SUMPRODUCT(COUNTIFS(확률!$J$2:$J$46, 원본!B561:G561, 확률!$M$2:$M$46, "&lt;=20"))</f>
        <v/>
      </c>
      <c r="K561" s="27">
        <f>SUMPRODUCT(COUNTIFS(확률!$J$2:$J$46, 원본!B561:G561, 확률!$M$2:$M$46, "&gt;=36"))</f>
        <v/>
      </c>
      <c r="L561" s="27">
        <f>6-J561-K561</f>
        <v/>
      </c>
    </row>
    <row r="562" ht="16.5" customHeight="1" s="28">
      <c r="A562" s="31" t="n">
        <v>561</v>
      </c>
      <c r="B562" s="27" t="n">
        <v>5</v>
      </c>
      <c r="C562" s="27" t="n">
        <v>7</v>
      </c>
      <c r="D562" s="27" t="n">
        <v>18</v>
      </c>
      <c r="E562" s="27" t="n">
        <v>37</v>
      </c>
      <c r="F562" s="27" t="n">
        <v>42</v>
      </c>
      <c r="G562" s="27" t="n">
        <v>45</v>
      </c>
      <c r="H562" s="27" t="n">
        <v>20</v>
      </c>
      <c r="J562" s="27">
        <f>SUMPRODUCT(COUNTIFS(확률!$J$2:$J$46, 원본!B562:G562, 확률!$M$2:$M$46, "&lt;=20"))</f>
        <v/>
      </c>
      <c r="K562" s="27">
        <f>SUMPRODUCT(COUNTIFS(확률!$J$2:$J$46, 원본!B562:G562, 확률!$M$2:$M$46, "&gt;=36"))</f>
        <v/>
      </c>
      <c r="L562" s="27">
        <f>6-J562-K562</f>
        <v/>
      </c>
    </row>
    <row r="563" ht="16.5" customHeight="1" s="28">
      <c r="A563" s="31" t="n">
        <v>562</v>
      </c>
      <c r="B563" s="27" t="n">
        <v>4</v>
      </c>
      <c r="C563" s="27" t="n">
        <v>11</v>
      </c>
      <c r="D563" s="27" t="n">
        <v>13</v>
      </c>
      <c r="E563" s="27" t="n">
        <v>17</v>
      </c>
      <c r="F563" s="27" t="n">
        <v>20</v>
      </c>
      <c r="G563" s="27" t="n">
        <v>31</v>
      </c>
      <c r="H563" s="27" t="n">
        <v>33</v>
      </c>
      <c r="J563" s="27">
        <f>SUMPRODUCT(COUNTIFS(확률!$J$2:$J$46, 원본!B563:G563, 확률!$M$2:$M$46, "&lt;=20"))</f>
        <v/>
      </c>
      <c r="K563" s="27">
        <f>SUMPRODUCT(COUNTIFS(확률!$J$2:$J$46, 원본!B563:G563, 확률!$M$2:$M$46, "&gt;=36"))</f>
        <v/>
      </c>
      <c r="L563" s="27">
        <f>6-J563-K563</f>
        <v/>
      </c>
    </row>
    <row r="564" ht="16.5" customHeight="1" s="28">
      <c r="A564" s="31" t="n">
        <v>563</v>
      </c>
      <c r="B564" s="27" t="n">
        <v>5</v>
      </c>
      <c r="C564" s="27" t="n">
        <v>10</v>
      </c>
      <c r="D564" s="27" t="n">
        <v>16</v>
      </c>
      <c r="E564" s="27" t="n">
        <v>17</v>
      </c>
      <c r="F564" s="27" t="n">
        <v>31</v>
      </c>
      <c r="G564" s="27" t="n">
        <v>32</v>
      </c>
      <c r="H564" s="27" t="n">
        <v>21</v>
      </c>
      <c r="J564" s="27">
        <f>SUMPRODUCT(COUNTIFS(확률!$J$2:$J$46, 원본!B564:G564, 확률!$M$2:$M$46, "&lt;=20"))</f>
        <v/>
      </c>
      <c r="K564" s="27">
        <f>SUMPRODUCT(COUNTIFS(확률!$J$2:$J$46, 원본!B564:G564, 확률!$M$2:$M$46, "&gt;=36"))</f>
        <v/>
      </c>
      <c r="L564" s="27">
        <f>6-J564-K564</f>
        <v/>
      </c>
    </row>
    <row r="565" ht="16.5" customHeight="1" s="28">
      <c r="A565" s="31" t="n">
        <v>564</v>
      </c>
      <c r="B565" s="27" t="n">
        <v>14</v>
      </c>
      <c r="C565" s="27" t="n">
        <v>19</v>
      </c>
      <c r="D565" s="27" t="n">
        <v>25</v>
      </c>
      <c r="E565" s="27" t="n">
        <v>26</v>
      </c>
      <c r="F565" s="27" t="n">
        <v>27</v>
      </c>
      <c r="G565" s="27" t="n">
        <v>34</v>
      </c>
      <c r="H565" s="27" t="n">
        <v>2</v>
      </c>
      <c r="J565" s="27">
        <f>SUMPRODUCT(COUNTIFS(확률!$J$2:$J$46, 원본!B565:G565, 확률!$M$2:$M$46, "&lt;=20"))</f>
        <v/>
      </c>
      <c r="K565" s="27">
        <f>SUMPRODUCT(COUNTIFS(확률!$J$2:$J$46, 원본!B565:G565, 확률!$M$2:$M$46, "&gt;=36"))</f>
        <v/>
      </c>
      <c r="L565" s="27">
        <f>6-J565-K565</f>
        <v/>
      </c>
    </row>
    <row r="566" ht="16.5" customHeight="1" s="28">
      <c r="A566" s="31" t="n">
        <v>565</v>
      </c>
      <c r="B566" s="27" t="n">
        <v>4</v>
      </c>
      <c r="C566" s="27" t="n">
        <v>10</v>
      </c>
      <c r="D566" s="27" t="n">
        <v>18</v>
      </c>
      <c r="E566" s="27" t="n">
        <v>27</v>
      </c>
      <c r="F566" s="27" t="n">
        <v>40</v>
      </c>
      <c r="G566" s="27" t="n">
        <v>45</v>
      </c>
      <c r="H566" s="27" t="n">
        <v>38</v>
      </c>
      <c r="J566" s="27">
        <f>SUMPRODUCT(COUNTIFS(확률!$J$2:$J$46, 원본!B566:G566, 확률!$M$2:$M$46, "&lt;=20"))</f>
        <v/>
      </c>
      <c r="K566" s="27">
        <f>SUMPRODUCT(COUNTIFS(확률!$J$2:$J$46, 원본!B566:G566, 확률!$M$2:$M$46, "&gt;=36"))</f>
        <v/>
      </c>
      <c r="L566" s="27">
        <f>6-J566-K566</f>
        <v/>
      </c>
    </row>
    <row r="567" ht="16.5" customHeight="1" s="28">
      <c r="A567" s="31" t="n">
        <v>566</v>
      </c>
      <c r="B567" s="27" t="n">
        <v>4</v>
      </c>
      <c r="C567" s="27" t="n">
        <v>5</v>
      </c>
      <c r="D567" s="27" t="n">
        <v>6</v>
      </c>
      <c r="E567" s="27" t="n">
        <v>25</v>
      </c>
      <c r="F567" s="27" t="n">
        <v>26</v>
      </c>
      <c r="G567" s="27" t="n">
        <v>43</v>
      </c>
      <c r="H567" s="27" t="n">
        <v>41</v>
      </c>
      <c r="J567" s="27">
        <f>SUMPRODUCT(COUNTIFS(확률!$J$2:$J$46, 원본!B567:G567, 확률!$M$2:$M$46, "&lt;=20"))</f>
        <v/>
      </c>
      <c r="K567" s="27">
        <f>SUMPRODUCT(COUNTIFS(확률!$J$2:$J$46, 원본!B567:G567, 확률!$M$2:$M$46, "&gt;=36"))</f>
        <v/>
      </c>
      <c r="L567" s="27">
        <f>6-J567-K567</f>
        <v/>
      </c>
    </row>
    <row r="568" ht="16.5" customHeight="1" s="28">
      <c r="A568" s="31" t="n">
        <v>567</v>
      </c>
      <c r="B568" s="27" t="n">
        <v>1</v>
      </c>
      <c r="C568" s="27" t="n">
        <v>10</v>
      </c>
      <c r="D568" s="27" t="n">
        <v>15</v>
      </c>
      <c r="E568" s="27" t="n">
        <v>16</v>
      </c>
      <c r="F568" s="27" t="n">
        <v>32</v>
      </c>
      <c r="G568" s="27" t="n">
        <v>41</v>
      </c>
      <c r="H568" s="27" t="n">
        <v>28</v>
      </c>
      <c r="J568" s="27">
        <f>SUMPRODUCT(COUNTIFS(확률!$J$2:$J$46, 원본!B568:G568, 확률!$M$2:$M$46, "&lt;=20"))</f>
        <v/>
      </c>
      <c r="K568" s="27">
        <f>SUMPRODUCT(COUNTIFS(확률!$J$2:$J$46, 원본!B568:G568, 확률!$M$2:$M$46, "&gt;=36"))</f>
        <v/>
      </c>
      <c r="L568" s="27">
        <f>6-J568-K568</f>
        <v/>
      </c>
    </row>
    <row r="569" ht="16.5" customHeight="1" s="28">
      <c r="A569" s="31" t="n">
        <v>568</v>
      </c>
      <c r="B569" s="27" t="n">
        <v>1</v>
      </c>
      <c r="C569" s="27" t="n">
        <v>3</v>
      </c>
      <c r="D569" s="27" t="n">
        <v>17</v>
      </c>
      <c r="E569" s="27" t="n">
        <v>20</v>
      </c>
      <c r="F569" s="27" t="n">
        <v>31</v>
      </c>
      <c r="G569" s="27" t="n">
        <v>44</v>
      </c>
      <c r="H569" s="27" t="n">
        <v>40</v>
      </c>
      <c r="J569" s="27">
        <f>SUMPRODUCT(COUNTIFS(확률!$J$2:$J$46, 원본!B569:G569, 확률!$M$2:$M$46, "&lt;=20"))</f>
        <v/>
      </c>
      <c r="K569" s="27">
        <f>SUMPRODUCT(COUNTIFS(확률!$J$2:$J$46, 원본!B569:G569, 확률!$M$2:$M$46, "&gt;=36"))</f>
        <v/>
      </c>
      <c r="L569" s="27">
        <f>6-J569-K569</f>
        <v/>
      </c>
    </row>
    <row r="570" ht="16.5" customHeight="1" s="28">
      <c r="A570" s="31" t="n">
        <v>569</v>
      </c>
      <c r="B570" s="27" t="n">
        <v>3</v>
      </c>
      <c r="C570" s="27" t="n">
        <v>6</v>
      </c>
      <c r="D570" s="27" t="n">
        <v>13</v>
      </c>
      <c r="E570" s="27" t="n">
        <v>23</v>
      </c>
      <c r="F570" s="27" t="n">
        <v>24</v>
      </c>
      <c r="G570" s="27" t="n">
        <v>35</v>
      </c>
      <c r="H570" s="27" t="n">
        <v>1</v>
      </c>
      <c r="J570" s="27">
        <f>SUMPRODUCT(COUNTIFS(확률!$J$2:$J$46, 원본!B570:G570, 확률!$M$2:$M$46, "&lt;=20"))</f>
        <v/>
      </c>
      <c r="K570" s="27">
        <f>SUMPRODUCT(COUNTIFS(확률!$J$2:$J$46, 원본!B570:G570, 확률!$M$2:$M$46, "&gt;=36"))</f>
        <v/>
      </c>
      <c r="L570" s="27">
        <f>6-J570-K570</f>
        <v/>
      </c>
    </row>
    <row r="571" ht="16.5" customHeight="1" s="28">
      <c r="A571" s="31" t="n">
        <v>570</v>
      </c>
      <c r="B571" s="27" t="n">
        <v>1</v>
      </c>
      <c r="C571" s="27" t="n">
        <v>12</v>
      </c>
      <c r="D571" s="27" t="n">
        <v>26</v>
      </c>
      <c r="E571" s="27" t="n">
        <v>27</v>
      </c>
      <c r="F571" s="27" t="n">
        <v>29</v>
      </c>
      <c r="G571" s="27" t="n">
        <v>33</v>
      </c>
      <c r="H571" s="27" t="n">
        <v>42</v>
      </c>
      <c r="J571" s="27">
        <f>SUMPRODUCT(COUNTIFS(확률!$J$2:$J$46, 원본!B571:G571, 확률!$M$2:$M$46, "&lt;=20"))</f>
        <v/>
      </c>
      <c r="K571" s="27">
        <f>SUMPRODUCT(COUNTIFS(확률!$J$2:$J$46, 원본!B571:G571, 확률!$M$2:$M$46, "&gt;=36"))</f>
        <v/>
      </c>
      <c r="L571" s="27">
        <f>6-J571-K571</f>
        <v/>
      </c>
    </row>
    <row r="572" ht="16.5" customHeight="1" s="28">
      <c r="A572" s="31" t="n">
        <v>571</v>
      </c>
      <c r="B572" s="27" t="n">
        <v>11</v>
      </c>
      <c r="C572" s="27" t="n">
        <v>18</v>
      </c>
      <c r="D572" s="27" t="n">
        <v>21</v>
      </c>
      <c r="E572" s="27" t="n">
        <v>26</v>
      </c>
      <c r="F572" s="27" t="n">
        <v>38</v>
      </c>
      <c r="G572" s="27" t="n">
        <v>43</v>
      </c>
      <c r="H572" s="27" t="n">
        <v>29</v>
      </c>
      <c r="J572" s="27">
        <f>SUMPRODUCT(COUNTIFS(확률!$J$2:$J$46, 원본!B572:G572, 확률!$M$2:$M$46, "&lt;=20"))</f>
        <v/>
      </c>
      <c r="K572" s="27">
        <f>SUMPRODUCT(COUNTIFS(확률!$J$2:$J$46, 원본!B572:G572, 확률!$M$2:$M$46, "&gt;=36"))</f>
        <v/>
      </c>
      <c r="L572" s="27">
        <f>6-J572-K572</f>
        <v/>
      </c>
    </row>
    <row r="573" ht="16.5" customHeight="1" s="28">
      <c r="A573" s="31" t="n">
        <v>572</v>
      </c>
      <c r="B573" s="27" t="n">
        <v>3</v>
      </c>
      <c r="C573" s="27" t="n">
        <v>13</v>
      </c>
      <c r="D573" s="27" t="n">
        <v>18</v>
      </c>
      <c r="E573" s="27" t="n">
        <v>33</v>
      </c>
      <c r="F573" s="27" t="n">
        <v>37</v>
      </c>
      <c r="G573" s="27" t="n">
        <v>45</v>
      </c>
      <c r="H573" s="27" t="n">
        <v>1</v>
      </c>
      <c r="J573" s="27">
        <f>SUMPRODUCT(COUNTIFS(확률!$J$2:$J$46, 원본!B573:G573, 확률!$M$2:$M$46, "&lt;=20"))</f>
        <v/>
      </c>
      <c r="K573" s="27">
        <f>SUMPRODUCT(COUNTIFS(확률!$J$2:$J$46, 원본!B573:G573, 확률!$M$2:$M$46, "&gt;=36"))</f>
        <v/>
      </c>
      <c r="L573" s="27">
        <f>6-J573-K573</f>
        <v/>
      </c>
    </row>
    <row r="574" ht="16.5" customHeight="1" s="28">
      <c r="A574" s="31" t="n">
        <v>573</v>
      </c>
      <c r="B574" s="27" t="n">
        <v>2</v>
      </c>
      <c r="C574" s="27" t="n">
        <v>4</v>
      </c>
      <c r="D574" s="27" t="n">
        <v>20</v>
      </c>
      <c r="E574" s="27" t="n">
        <v>34</v>
      </c>
      <c r="F574" s="27" t="n">
        <v>35</v>
      </c>
      <c r="G574" s="27" t="n">
        <v>43</v>
      </c>
      <c r="H574" s="27" t="n">
        <v>14</v>
      </c>
      <c r="J574" s="27">
        <f>SUMPRODUCT(COUNTIFS(확률!$J$2:$J$46, 원본!B574:G574, 확률!$M$2:$M$46, "&lt;=20"))</f>
        <v/>
      </c>
      <c r="K574" s="27">
        <f>SUMPRODUCT(COUNTIFS(확률!$J$2:$J$46, 원본!B574:G574, 확률!$M$2:$M$46, "&gt;=36"))</f>
        <v/>
      </c>
      <c r="L574" s="27">
        <f>6-J574-K574</f>
        <v/>
      </c>
    </row>
    <row r="575" ht="16.5" customHeight="1" s="28">
      <c r="A575" s="31" t="n">
        <v>574</v>
      </c>
      <c r="B575" s="27" t="n">
        <v>14</v>
      </c>
      <c r="C575" s="27" t="n">
        <v>15</v>
      </c>
      <c r="D575" s="27" t="n">
        <v>16</v>
      </c>
      <c r="E575" s="27" t="n">
        <v>19</v>
      </c>
      <c r="F575" s="27" t="n">
        <v>25</v>
      </c>
      <c r="G575" s="27" t="n">
        <v>43</v>
      </c>
      <c r="H575" s="27" t="n">
        <v>2</v>
      </c>
      <c r="J575" s="27">
        <f>SUMPRODUCT(COUNTIFS(확률!$J$2:$J$46, 원본!B575:G575, 확률!$M$2:$M$46, "&lt;=20"))</f>
        <v/>
      </c>
      <c r="K575" s="27">
        <f>SUMPRODUCT(COUNTIFS(확률!$J$2:$J$46, 원본!B575:G575, 확률!$M$2:$M$46, "&gt;=36"))</f>
        <v/>
      </c>
      <c r="L575" s="27">
        <f>6-J575-K575</f>
        <v/>
      </c>
    </row>
    <row r="576" ht="16.5" customHeight="1" s="28">
      <c r="A576" s="31" t="n">
        <v>575</v>
      </c>
      <c r="B576" s="27" t="n">
        <v>2</v>
      </c>
      <c r="C576" s="27" t="n">
        <v>8</v>
      </c>
      <c r="D576" s="27" t="n">
        <v>20</v>
      </c>
      <c r="E576" s="27" t="n">
        <v>30</v>
      </c>
      <c r="F576" s="27" t="n">
        <v>33</v>
      </c>
      <c r="G576" s="27" t="n">
        <v>34</v>
      </c>
      <c r="H576" s="27" t="n">
        <v>6</v>
      </c>
      <c r="J576" s="27">
        <f>SUMPRODUCT(COUNTIFS(확률!$J$2:$J$46, 원본!B576:G576, 확률!$M$2:$M$46, "&lt;=20"))</f>
        <v/>
      </c>
      <c r="K576" s="27">
        <f>SUMPRODUCT(COUNTIFS(확률!$J$2:$J$46, 원본!B576:G576, 확률!$M$2:$M$46, "&gt;=36"))</f>
        <v/>
      </c>
      <c r="L576" s="27">
        <f>6-J576-K576</f>
        <v/>
      </c>
    </row>
    <row r="577" ht="16.5" customHeight="1" s="28">
      <c r="A577" s="31" t="n">
        <v>576</v>
      </c>
      <c r="B577" s="27" t="n">
        <v>10</v>
      </c>
      <c r="C577" s="27" t="n">
        <v>11</v>
      </c>
      <c r="D577" s="27" t="n">
        <v>15</v>
      </c>
      <c r="E577" s="27" t="n">
        <v>25</v>
      </c>
      <c r="F577" s="27" t="n">
        <v>35</v>
      </c>
      <c r="G577" s="27" t="n">
        <v>41</v>
      </c>
      <c r="H577" s="27" t="n">
        <v>13</v>
      </c>
      <c r="J577" s="27">
        <f>SUMPRODUCT(COUNTIFS(확률!$J$2:$J$46, 원본!B577:G577, 확률!$M$2:$M$46, "&lt;=20"))</f>
        <v/>
      </c>
      <c r="K577" s="27">
        <f>SUMPRODUCT(COUNTIFS(확률!$J$2:$J$46, 원본!B577:G577, 확률!$M$2:$M$46, "&gt;=36"))</f>
        <v/>
      </c>
      <c r="L577" s="27">
        <f>6-J577-K577</f>
        <v/>
      </c>
    </row>
    <row r="578" ht="16.5" customHeight="1" s="28">
      <c r="A578" s="31" t="n">
        <v>577</v>
      </c>
      <c r="B578" s="27" t="n">
        <v>16</v>
      </c>
      <c r="C578" s="27" t="n">
        <v>17</v>
      </c>
      <c r="D578" s="27" t="n">
        <v>22</v>
      </c>
      <c r="E578" s="27" t="n">
        <v>31</v>
      </c>
      <c r="F578" s="27" t="n">
        <v>34</v>
      </c>
      <c r="G578" s="27" t="n">
        <v>37</v>
      </c>
      <c r="H578" s="27" t="n">
        <v>33</v>
      </c>
      <c r="J578" s="27">
        <f>SUMPRODUCT(COUNTIFS(확률!$J$2:$J$46, 원본!B578:G578, 확률!$M$2:$M$46, "&lt;=20"))</f>
        <v/>
      </c>
      <c r="K578" s="27">
        <f>SUMPRODUCT(COUNTIFS(확률!$J$2:$J$46, 원본!B578:G578, 확률!$M$2:$M$46, "&gt;=36"))</f>
        <v/>
      </c>
      <c r="L578" s="27">
        <f>6-J578-K578</f>
        <v/>
      </c>
    </row>
    <row r="579" ht="16.5" customHeight="1" s="28">
      <c r="A579" s="31" t="n">
        <v>578</v>
      </c>
      <c r="B579" s="27" t="n">
        <v>5</v>
      </c>
      <c r="C579" s="27" t="n">
        <v>12</v>
      </c>
      <c r="D579" s="27" t="n">
        <v>14</v>
      </c>
      <c r="E579" s="27" t="n">
        <v>32</v>
      </c>
      <c r="F579" s="27" t="n">
        <v>34</v>
      </c>
      <c r="G579" s="27" t="n">
        <v>42</v>
      </c>
      <c r="H579" s="27" t="n">
        <v>16</v>
      </c>
      <c r="J579" s="27">
        <f>SUMPRODUCT(COUNTIFS(확률!$J$2:$J$46, 원본!B579:G579, 확률!$M$2:$M$46, "&lt;=20"))</f>
        <v/>
      </c>
      <c r="K579" s="27">
        <f>SUMPRODUCT(COUNTIFS(확률!$J$2:$J$46, 원본!B579:G579, 확률!$M$2:$M$46, "&gt;=36"))</f>
        <v/>
      </c>
      <c r="L579" s="27">
        <f>6-J579-K579</f>
        <v/>
      </c>
    </row>
    <row r="580" ht="16.5" customHeight="1" s="28">
      <c r="A580" s="31" t="n">
        <v>579</v>
      </c>
      <c r="B580" s="27" t="n">
        <v>5</v>
      </c>
      <c r="C580" s="27" t="n">
        <v>7</v>
      </c>
      <c r="D580" s="27" t="n">
        <v>20</v>
      </c>
      <c r="E580" s="27" t="n">
        <v>22</v>
      </c>
      <c r="F580" s="27" t="n">
        <v>37</v>
      </c>
      <c r="G580" s="27" t="n">
        <v>42</v>
      </c>
      <c r="H580" s="27" t="n">
        <v>39</v>
      </c>
      <c r="J580" s="27">
        <f>SUMPRODUCT(COUNTIFS(확률!$J$2:$J$46, 원본!B580:G580, 확률!$M$2:$M$46, "&lt;=20"))</f>
        <v/>
      </c>
      <c r="K580" s="27">
        <f>SUMPRODUCT(COUNTIFS(확률!$J$2:$J$46, 원본!B580:G580, 확률!$M$2:$M$46, "&gt;=36"))</f>
        <v/>
      </c>
      <c r="L580" s="27">
        <f>6-J580-K580</f>
        <v/>
      </c>
    </row>
    <row r="581" ht="16.5" customHeight="1" s="28">
      <c r="A581" s="31" t="n">
        <v>580</v>
      </c>
      <c r="B581" s="27" t="n">
        <v>5</v>
      </c>
      <c r="C581" s="27" t="n">
        <v>7</v>
      </c>
      <c r="D581" s="27" t="n">
        <v>9</v>
      </c>
      <c r="E581" s="27" t="n">
        <v>11</v>
      </c>
      <c r="F581" s="27" t="n">
        <v>32</v>
      </c>
      <c r="G581" s="27" t="n">
        <v>35</v>
      </c>
      <c r="H581" s="27" t="n">
        <v>33</v>
      </c>
      <c r="J581" s="27">
        <f>SUMPRODUCT(COUNTIFS(확률!$J$2:$J$46, 원본!B581:G581, 확률!$M$2:$M$46, "&lt;=20"))</f>
        <v/>
      </c>
      <c r="K581" s="27">
        <f>SUMPRODUCT(COUNTIFS(확률!$J$2:$J$46, 원본!B581:G581, 확률!$M$2:$M$46, "&gt;=36"))</f>
        <v/>
      </c>
      <c r="L581" s="27">
        <f>6-J581-K581</f>
        <v/>
      </c>
    </row>
    <row r="582" ht="16.5" customHeight="1" s="28">
      <c r="A582" s="31" t="n">
        <v>581</v>
      </c>
      <c r="B582" s="27" t="n">
        <v>3</v>
      </c>
      <c r="C582" s="27" t="n">
        <v>5</v>
      </c>
      <c r="D582" s="27" t="n">
        <v>14</v>
      </c>
      <c r="E582" s="27" t="n">
        <v>20</v>
      </c>
      <c r="F582" s="27" t="n">
        <v>42</v>
      </c>
      <c r="G582" s="27" t="n">
        <v>44</v>
      </c>
      <c r="H582" s="27" t="n">
        <v>33</v>
      </c>
      <c r="J582" s="27">
        <f>SUMPRODUCT(COUNTIFS(확률!$J$2:$J$46, 원본!B582:G582, 확률!$M$2:$M$46, "&lt;=20"))</f>
        <v/>
      </c>
      <c r="K582" s="27">
        <f>SUMPRODUCT(COUNTIFS(확률!$J$2:$J$46, 원본!B582:G582, 확률!$M$2:$M$46, "&gt;=36"))</f>
        <v/>
      </c>
      <c r="L582" s="27">
        <f>6-J582-K582</f>
        <v/>
      </c>
    </row>
    <row r="583" ht="16.5" customHeight="1" s="28">
      <c r="A583" s="31" t="n">
        <v>582</v>
      </c>
      <c r="B583" s="27" t="n">
        <v>2</v>
      </c>
      <c r="C583" s="27" t="n">
        <v>12</v>
      </c>
      <c r="D583" s="27" t="n">
        <v>14</v>
      </c>
      <c r="E583" s="27" t="n">
        <v>33</v>
      </c>
      <c r="F583" s="27" t="n">
        <v>40</v>
      </c>
      <c r="G583" s="27" t="n">
        <v>41</v>
      </c>
      <c r="H583" s="27" t="n">
        <v>25</v>
      </c>
      <c r="J583" s="27">
        <f>SUMPRODUCT(COUNTIFS(확률!$J$2:$J$46, 원본!B583:G583, 확률!$M$2:$M$46, "&lt;=20"))</f>
        <v/>
      </c>
      <c r="K583" s="27">
        <f>SUMPRODUCT(COUNTIFS(확률!$J$2:$J$46, 원본!B583:G583, 확률!$M$2:$M$46, "&gt;=36"))</f>
        <v/>
      </c>
      <c r="L583" s="27">
        <f>6-J583-K583</f>
        <v/>
      </c>
    </row>
    <row r="584" ht="16.5" customHeight="1" s="28">
      <c r="A584" s="31" t="n">
        <v>583</v>
      </c>
      <c r="B584" s="27" t="n">
        <v>8</v>
      </c>
      <c r="C584" s="27" t="n">
        <v>17</v>
      </c>
      <c r="D584" s="27" t="n">
        <v>27</v>
      </c>
      <c r="E584" s="27" t="n">
        <v>33</v>
      </c>
      <c r="F584" s="27" t="n">
        <v>40</v>
      </c>
      <c r="G584" s="27" t="n">
        <v>44</v>
      </c>
      <c r="H584" s="27" t="n">
        <v>24</v>
      </c>
      <c r="J584" s="27">
        <f>SUMPRODUCT(COUNTIFS(확률!$J$2:$J$46, 원본!B584:G584, 확률!$M$2:$M$46, "&lt;=20"))</f>
        <v/>
      </c>
      <c r="K584" s="27">
        <f>SUMPRODUCT(COUNTIFS(확률!$J$2:$J$46, 원본!B584:G584, 확률!$M$2:$M$46, "&gt;=36"))</f>
        <v/>
      </c>
      <c r="L584" s="27">
        <f>6-J584-K584</f>
        <v/>
      </c>
    </row>
    <row r="585" ht="16.5" customHeight="1" s="28">
      <c r="A585" s="31" t="n">
        <v>584</v>
      </c>
      <c r="B585" s="27" t="n">
        <v>7</v>
      </c>
      <c r="C585" s="27" t="n">
        <v>18</v>
      </c>
      <c r="D585" s="27" t="n">
        <v>30</v>
      </c>
      <c r="E585" s="27" t="n">
        <v>39</v>
      </c>
      <c r="F585" s="27" t="n">
        <v>40</v>
      </c>
      <c r="G585" s="27" t="n">
        <v>41</v>
      </c>
      <c r="H585" s="27" t="n">
        <v>36</v>
      </c>
      <c r="J585" s="27">
        <f>SUMPRODUCT(COUNTIFS(확률!$J$2:$J$46, 원본!B585:G585, 확률!$M$2:$M$46, "&lt;=20"))</f>
        <v/>
      </c>
      <c r="K585" s="27">
        <f>SUMPRODUCT(COUNTIFS(확률!$J$2:$J$46, 원본!B585:G585, 확률!$M$2:$M$46, "&gt;=36"))</f>
        <v/>
      </c>
      <c r="L585" s="27">
        <f>6-J585-K585</f>
        <v/>
      </c>
    </row>
    <row r="586" ht="16.5" customHeight="1" s="28">
      <c r="A586" s="31" t="n">
        <v>585</v>
      </c>
      <c r="B586" s="27" t="n">
        <v>6</v>
      </c>
      <c r="C586" s="27" t="n">
        <v>7</v>
      </c>
      <c r="D586" s="27" t="n">
        <v>10</v>
      </c>
      <c r="E586" s="27" t="n">
        <v>16</v>
      </c>
      <c r="F586" s="27" t="n">
        <v>38</v>
      </c>
      <c r="G586" s="27" t="n">
        <v>41</v>
      </c>
      <c r="H586" s="27" t="n">
        <v>4</v>
      </c>
      <c r="J586" s="27">
        <f>SUMPRODUCT(COUNTIFS(확률!$J$2:$J$46, 원본!B586:G586, 확률!$M$2:$M$46, "&lt;=20"))</f>
        <v/>
      </c>
      <c r="K586" s="27">
        <f>SUMPRODUCT(COUNTIFS(확률!$J$2:$J$46, 원본!B586:G586, 확률!$M$2:$M$46, "&gt;=36"))</f>
        <v/>
      </c>
      <c r="L586" s="27">
        <f>6-J586-K586</f>
        <v/>
      </c>
    </row>
    <row r="587" ht="16.5" customHeight="1" s="28">
      <c r="A587" s="31" t="n">
        <v>586</v>
      </c>
      <c r="B587" s="27" t="n">
        <v>2</v>
      </c>
      <c r="C587" s="27" t="n">
        <v>7</v>
      </c>
      <c r="D587" s="27" t="n">
        <v>12</v>
      </c>
      <c r="E587" s="27" t="n">
        <v>15</v>
      </c>
      <c r="F587" s="27" t="n">
        <v>21</v>
      </c>
      <c r="G587" s="27" t="n">
        <v>34</v>
      </c>
      <c r="H587" s="27" t="n">
        <v>5</v>
      </c>
      <c r="J587" s="27">
        <f>SUMPRODUCT(COUNTIFS(확률!$J$2:$J$46, 원본!B587:G587, 확률!$M$2:$M$46, "&lt;=20"))</f>
        <v/>
      </c>
      <c r="K587" s="27">
        <f>SUMPRODUCT(COUNTIFS(확률!$J$2:$J$46, 원본!B587:G587, 확률!$M$2:$M$46, "&gt;=36"))</f>
        <v/>
      </c>
      <c r="L587" s="27">
        <f>6-J587-K587</f>
        <v/>
      </c>
    </row>
    <row r="588" ht="16.5" customHeight="1" s="28">
      <c r="A588" s="31" t="n">
        <v>587</v>
      </c>
      <c r="B588" s="27" t="n">
        <v>14</v>
      </c>
      <c r="C588" s="27" t="n">
        <v>21</v>
      </c>
      <c r="D588" s="27" t="n">
        <v>29</v>
      </c>
      <c r="E588" s="27" t="n">
        <v>31</v>
      </c>
      <c r="F588" s="27" t="n">
        <v>32</v>
      </c>
      <c r="G588" s="27" t="n">
        <v>37</v>
      </c>
      <c r="H588" s="27" t="n">
        <v>17</v>
      </c>
      <c r="J588" s="27">
        <f>SUMPRODUCT(COUNTIFS(확률!$J$2:$J$46, 원본!B588:G588, 확률!$M$2:$M$46, "&lt;=20"))</f>
        <v/>
      </c>
      <c r="K588" s="27">
        <f>SUMPRODUCT(COUNTIFS(확률!$J$2:$J$46, 원본!B588:G588, 확률!$M$2:$M$46, "&gt;=36"))</f>
        <v/>
      </c>
      <c r="L588" s="27">
        <f>6-J588-K588</f>
        <v/>
      </c>
    </row>
    <row r="589" ht="16.5" customHeight="1" s="28">
      <c r="A589" s="31" t="n">
        <v>588</v>
      </c>
      <c r="B589" s="27" t="n">
        <v>2</v>
      </c>
      <c r="C589" s="27" t="n">
        <v>8</v>
      </c>
      <c r="D589" s="27" t="n">
        <v>15</v>
      </c>
      <c r="E589" s="27" t="n">
        <v>22</v>
      </c>
      <c r="F589" s="27" t="n">
        <v>25</v>
      </c>
      <c r="G589" s="27" t="n">
        <v>41</v>
      </c>
      <c r="H589" s="27" t="n">
        <v>30</v>
      </c>
      <c r="J589" s="27">
        <f>SUMPRODUCT(COUNTIFS(확률!$J$2:$J$46, 원본!B589:G589, 확률!$M$2:$M$46, "&lt;=20"))</f>
        <v/>
      </c>
      <c r="K589" s="27">
        <f>SUMPRODUCT(COUNTIFS(확률!$J$2:$J$46, 원본!B589:G589, 확률!$M$2:$M$46, "&gt;=36"))</f>
        <v/>
      </c>
      <c r="L589" s="27">
        <f>6-J589-K589</f>
        <v/>
      </c>
    </row>
    <row r="590" ht="16.5" customHeight="1" s="28">
      <c r="A590" s="31" t="n">
        <v>589</v>
      </c>
      <c r="B590" s="27" t="n">
        <v>6</v>
      </c>
      <c r="C590" s="27" t="n">
        <v>8</v>
      </c>
      <c r="D590" s="27" t="n">
        <v>28</v>
      </c>
      <c r="E590" s="27" t="n">
        <v>33</v>
      </c>
      <c r="F590" s="27" t="n">
        <v>38</v>
      </c>
      <c r="G590" s="27" t="n">
        <v>39</v>
      </c>
      <c r="H590" s="27" t="n">
        <v>22</v>
      </c>
      <c r="J590" s="27">
        <f>SUMPRODUCT(COUNTIFS(확률!$J$2:$J$46, 원본!B590:G590, 확률!$M$2:$M$46, "&lt;=20"))</f>
        <v/>
      </c>
      <c r="K590" s="27">
        <f>SUMPRODUCT(COUNTIFS(확률!$J$2:$J$46, 원본!B590:G590, 확률!$M$2:$M$46, "&gt;=36"))</f>
        <v/>
      </c>
      <c r="L590" s="27">
        <f>6-J590-K590</f>
        <v/>
      </c>
    </row>
    <row r="591" ht="16.5" customHeight="1" s="28">
      <c r="A591" s="31" t="n">
        <v>590</v>
      </c>
      <c r="B591" s="27" t="n">
        <v>20</v>
      </c>
      <c r="C591" s="27" t="n">
        <v>30</v>
      </c>
      <c r="D591" s="27" t="n">
        <v>36</v>
      </c>
      <c r="E591" s="27" t="n">
        <v>38</v>
      </c>
      <c r="F591" s="27" t="n">
        <v>41</v>
      </c>
      <c r="G591" s="27" t="n">
        <v>45</v>
      </c>
      <c r="H591" s="27" t="n">
        <v>23</v>
      </c>
      <c r="J591" s="27">
        <f>SUMPRODUCT(COUNTIFS(확률!$J$2:$J$46, 원본!B591:G591, 확률!$M$2:$M$46, "&lt;=20"))</f>
        <v/>
      </c>
      <c r="K591" s="27">
        <f>SUMPRODUCT(COUNTIFS(확률!$J$2:$J$46, 원본!B591:G591, 확률!$M$2:$M$46, "&gt;=36"))</f>
        <v/>
      </c>
      <c r="L591" s="27">
        <f>6-J591-K591</f>
        <v/>
      </c>
    </row>
    <row r="592" ht="16.5" customHeight="1" s="28">
      <c r="A592" s="31" t="n">
        <v>591</v>
      </c>
      <c r="B592" s="27" t="n">
        <v>8</v>
      </c>
      <c r="C592" s="27" t="n">
        <v>13</v>
      </c>
      <c r="D592" s="27" t="n">
        <v>14</v>
      </c>
      <c r="E592" s="27" t="n">
        <v>30</v>
      </c>
      <c r="F592" s="27" t="n">
        <v>38</v>
      </c>
      <c r="G592" s="27" t="n">
        <v>39</v>
      </c>
      <c r="H592" s="27" t="n">
        <v>5</v>
      </c>
      <c r="J592" s="27">
        <f>SUMPRODUCT(COUNTIFS(확률!$J$2:$J$46, 원본!B592:G592, 확률!$M$2:$M$46, "&lt;=20"))</f>
        <v/>
      </c>
      <c r="K592" s="27">
        <f>SUMPRODUCT(COUNTIFS(확률!$J$2:$J$46, 원본!B592:G592, 확률!$M$2:$M$46, "&gt;=36"))</f>
        <v/>
      </c>
      <c r="L592" s="27">
        <f>6-J592-K592</f>
        <v/>
      </c>
    </row>
    <row r="593" ht="16.5" customHeight="1" s="28">
      <c r="A593" s="31" t="n">
        <v>592</v>
      </c>
      <c r="B593" s="27" t="n">
        <v>2</v>
      </c>
      <c r="C593" s="27" t="n">
        <v>5</v>
      </c>
      <c r="D593" s="27" t="n">
        <v>6</v>
      </c>
      <c r="E593" s="27" t="n">
        <v>13</v>
      </c>
      <c r="F593" s="27" t="n">
        <v>28</v>
      </c>
      <c r="G593" s="27" t="n">
        <v>44</v>
      </c>
      <c r="H593" s="27" t="n">
        <v>43</v>
      </c>
      <c r="J593" s="27">
        <f>SUMPRODUCT(COUNTIFS(확률!$J$2:$J$46, 원본!B593:G593, 확률!$M$2:$M$46, "&lt;=20"))</f>
        <v/>
      </c>
      <c r="K593" s="27">
        <f>SUMPRODUCT(COUNTIFS(확률!$J$2:$J$46, 원본!B593:G593, 확률!$M$2:$M$46, "&gt;=36"))</f>
        <v/>
      </c>
      <c r="L593" s="27">
        <f>6-J593-K593</f>
        <v/>
      </c>
    </row>
    <row r="594" ht="16.5" customHeight="1" s="28">
      <c r="A594" s="31" t="n">
        <v>593</v>
      </c>
      <c r="B594" s="27" t="n">
        <v>9</v>
      </c>
      <c r="C594" s="27" t="n">
        <v>10</v>
      </c>
      <c r="D594" s="27" t="n">
        <v>13</v>
      </c>
      <c r="E594" s="27" t="n">
        <v>24</v>
      </c>
      <c r="F594" s="27" t="n">
        <v>33</v>
      </c>
      <c r="G594" s="27" t="n">
        <v>38</v>
      </c>
      <c r="H594" s="27" t="n">
        <v>28</v>
      </c>
      <c r="J594" s="27">
        <f>SUMPRODUCT(COUNTIFS(확률!$J$2:$J$46, 원본!B594:G594, 확률!$M$2:$M$46, "&lt;=20"))</f>
        <v/>
      </c>
      <c r="K594" s="27">
        <f>SUMPRODUCT(COUNTIFS(확률!$J$2:$J$46, 원본!B594:G594, 확률!$M$2:$M$46, "&gt;=36"))</f>
        <v/>
      </c>
      <c r="L594" s="27">
        <f>6-J594-K594</f>
        <v/>
      </c>
    </row>
    <row r="595" ht="16.5" customHeight="1" s="28">
      <c r="A595" s="31" t="n">
        <v>594</v>
      </c>
      <c r="B595" s="27" t="n">
        <v>2</v>
      </c>
      <c r="C595" s="27" t="n">
        <v>8</v>
      </c>
      <c r="D595" s="27" t="n">
        <v>13</v>
      </c>
      <c r="E595" s="27" t="n">
        <v>25</v>
      </c>
      <c r="F595" s="27" t="n">
        <v>28</v>
      </c>
      <c r="G595" s="27" t="n">
        <v>37</v>
      </c>
      <c r="H595" s="27" t="n">
        <v>3</v>
      </c>
      <c r="J595" s="27">
        <f>SUMPRODUCT(COUNTIFS(확률!$J$2:$J$46, 원본!B595:G595, 확률!$M$2:$M$46, "&lt;=20"))</f>
        <v/>
      </c>
      <c r="K595" s="27">
        <f>SUMPRODUCT(COUNTIFS(확률!$J$2:$J$46, 원본!B595:G595, 확률!$M$2:$M$46, "&gt;=36"))</f>
        <v/>
      </c>
      <c r="L595" s="27">
        <f>6-J595-K595</f>
        <v/>
      </c>
    </row>
    <row r="596" ht="16.5" customHeight="1" s="28">
      <c r="A596" s="31" t="n">
        <v>595</v>
      </c>
      <c r="B596" s="27" t="n">
        <v>8</v>
      </c>
      <c r="C596" s="27" t="n">
        <v>24</v>
      </c>
      <c r="D596" s="27" t="n">
        <v>28</v>
      </c>
      <c r="E596" s="27" t="n">
        <v>35</v>
      </c>
      <c r="F596" s="27" t="n">
        <v>38</v>
      </c>
      <c r="G596" s="27" t="n">
        <v>40</v>
      </c>
      <c r="H596" s="27" t="n">
        <v>5</v>
      </c>
      <c r="J596" s="27">
        <f>SUMPRODUCT(COUNTIFS(확률!$J$2:$J$46, 원본!B596:G596, 확률!$M$2:$M$46, "&lt;=20"))</f>
        <v/>
      </c>
      <c r="K596" s="27">
        <f>SUMPRODUCT(COUNTIFS(확률!$J$2:$J$46, 원본!B596:G596, 확률!$M$2:$M$46, "&gt;=36"))</f>
        <v/>
      </c>
      <c r="L596" s="27">
        <f>6-J596-K596</f>
        <v/>
      </c>
    </row>
    <row r="597" ht="16.5" customHeight="1" s="28">
      <c r="A597" s="31" t="n">
        <v>596</v>
      </c>
      <c r="B597" s="27" t="n">
        <v>3</v>
      </c>
      <c r="C597" s="27" t="n">
        <v>4</v>
      </c>
      <c r="D597" s="27" t="n">
        <v>12</v>
      </c>
      <c r="E597" s="27" t="n">
        <v>14</v>
      </c>
      <c r="F597" s="27" t="n">
        <v>25</v>
      </c>
      <c r="G597" s="27" t="n">
        <v>43</v>
      </c>
      <c r="H597" s="27" t="n">
        <v>17</v>
      </c>
      <c r="J597" s="27">
        <f>SUMPRODUCT(COUNTIFS(확률!$J$2:$J$46, 원본!B597:G597, 확률!$M$2:$M$46, "&lt;=20"))</f>
        <v/>
      </c>
      <c r="K597" s="27">
        <f>SUMPRODUCT(COUNTIFS(확률!$J$2:$J$46, 원본!B597:G597, 확률!$M$2:$M$46, "&gt;=36"))</f>
        <v/>
      </c>
      <c r="L597" s="27">
        <f>6-J597-K597</f>
        <v/>
      </c>
    </row>
    <row r="598" ht="16.5" customHeight="1" s="28">
      <c r="A598" s="31" t="n">
        <v>597</v>
      </c>
      <c r="B598" s="27" t="n">
        <v>8</v>
      </c>
      <c r="C598" s="27" t="n">
        <v>10</v>
      </c>
      <c r="D598" s="27" t="n">
        <v>23</v>
      </c>
      <c r="E598" s="27" t="n">
        <v>24</v>
      </c>
      <c r="F598" s="27" t="n">
        <v>35</v>
      </c>
      <c r="G598" s="27" t="n">
        <v>43</v>
      </c>
      <c r="H598" s="27" t="n">
        <v>37</v>
      </c>
      <c r="J598" s="27">
        <f>SUMPRODUCT(COUNTIFS(확률!$J$2:$J$46, 원본!B598:G598, 확률!$M$2:$M$46, "&lt;=20"))</f>
        <v/>
      </c>
      <c r="K598" s="27">
        <f>SUMPRODUCT(COUNTIFS(확률!$J$2:$J$46, 원본!B598:G598, 확률!$M$2:$M$46, "&gt;=36"))</f>
        <v/>
      </c>
      <c r="L598" s="27">
        <f>6-J598-K598</f>
        <v/>
      </c>
    </row>
    <row r="599" ht="16.5" customHeight="1" s="28">
      <c r="A599" s="31" t="n">
        <v>598</v>
      </c>
      <c r="B599" s="27" t="n">
        <v>4</v>
      </c>
      <c r="C599" s="27" t="n">
        <v>12</v>
      </c>
      <c r="D599" s="27" t="n">
        <v>24</v>
      </c>
      <c r="E599" s="27" t="n">
        <v>33</v>
      </c>
      <c r="F599" s="27" t="n">
        <v>38</v>
      </c>
      <c r="G599" s="27" t="n">
        <v>45</v>
      </c>
      <c r="H599" s="27" t="n">
        <v>22</v>
      </c>
      <c r="J599" s="27">
        <f>SUMPRODUCT(COUNTIFS(확률!$J$2:$J$46, 원본!B599:G599, 확률!$M$2:$M$46, "&lt;=20"))</f>
        <v/>
      </c>
      <c r="K599" s="27">
        <f>SUMPRODUCT(COUNTIFS(확률!$J$2:$J$46, 원본!B599:G599, 확률!$M$2:$M$46, "&gt;=36"))</f>
        <v/>
      </c>
      <c r="L599" s="27">
        <f>6-J599-K599</f>
        <v/>
      </c>
    </row>
    <row r="600" ht="16.5" customHeight="1" s="28">
      <c r="A600" s="31" t="n">
        <v>599</v>
      </c>
      <c r="B600" s="27" t="n">
        <v>5</v>
      </c>
      <c r="C600" s="27" t="n">
        <v>12</v>
      </c>
      <c r="D600" s="27" t="n">
        <v>17</v>
      </c>
      <c r="E600" s="27" t="n">
        <v>29</v>
      </c>
      <c r="F600" s="27" t="n">
        <v>34</v>
      </c>
      <c r="G600" s="27" t="n">
        <v>35</v>
      </c>
      <c r="H600" s="27" t="n">
        <v>27</v>
      </c>
      <c r="J600" s="27">
        <f>SUMPRODUCT(COUNTIFS(확률!$J$2:$J$46, 원본!B600:G600, 확률!$M$2:$M$46, "&lt;=20"))</f>
        <v/>
      </c>
      <c r="K600" s="27">
        <f>SUMPRODUCT(COUNTIFS(확률!$J$2:$J$46, 원본!B600:G600, 확률!$M$2:$M$46, "&gt;=36"))</f>
        <v/>
      </c>
      <c r="L600" s="27">
        <f>6-J600-K600</f>
        <v/>
      </c>
    </row>
    <row r="601" ht="16.5" customHeight="1" s="28">
      <c r="A601" s="31" t="n">
        <v>600</v>
      </c>
      <c r="B601" s="27" t="n">
        <v>5</v>
      </c>
      <c r="C601" s="27" t="n">
        <v>11</v>
      </c>
      <c r="D601" s="27" t="n">
        <v>14</v>
      </c>
      <c r="E601" s="27" t="n">
        <v>27</v>
      </c>
      <c r="F601" s="27" t="n">
        <v>29</v>
      </c>
      <c r="G601" s="27" t="n">
        <v>36</v>
      </c>
      <c r="H601" s="27" t="n">
        <v>44</v>
      </c>
      <c r="J601" s="27">
        <f>SUMPRODUCT(COUNTIFS(확률!$J$2:$J$46, 원본!B601:G601, 확률!$M$2:$M$46, "&lt;=20"))</f>
        <v/>
      </c>
      <c r="K601" s="27">
        <f>SUMPRODUCT(COUNTIFS(확률!$J$2:$J$46, 원본!B601:G601, 확률!$M$2:$M$46, "&gt;=36"))</f>
        <v/>
      </c>
      <c r="L601" s="27">
        <f>6-J601-K601</f>
        <v/>
      </c>
    </row>
    <row r="602" ht="16.5" customHeight="1" s="28">
      <c r="A602" s="31" t="n">
        <v>601</v>
      </c>
      <c r="B602" s="27" t="n">
        <v>2</v>
      </c>
      <c r="C602" s="27" t="n">
        <v>16</v>
      </c>
      <c r="D602" s="27" t="n">
        <v>19</v>
      </c>
      <c r="E602" s="27" t="n">
        <v>31</v>
      </c>
      <c r="F602" s="27" t="n">
        <v>34</v>
      </c>
      <c r="G602" s="27" t="n">
        <v>35</v>
      </c>
      <c r="H602" s="27" t="n">
        <v>37</v>
      </c>
      <c r="J602" s="27">
        <f>SUMPRODUCT(COUNTIFS(확률!$J$2:$J$46, 원본!B602:G602, 확률!$M$2:$M$46, "&lt;=20"))</f>
        <v/>
      </c>
      <c r="K602" s="27">
        <f>SUMPRODUCT(COUNTIFS(확률!$J$2:$J$46, 원본!B602:G602, 확률!$M$2:$M$46, "&gt;=36"))</f>
        <v/>
      </c>
      <c r="L602" s="27">
        <f>6-J602-K602</f>
        <v/>
      </c>
    </row>
    <row r="603" ht="16.5" customHeight="1" s="28">
      <c r="A603" s="31" t="n">
        <v>602</v>
      </c>
      <c r="B603" s="27" t="n">
        <v>13</v>
      </c>
      <c r="C603" s="27" t="n">
        <v>14</v>
      </c>
      <c r="D603" s="27" t="n">
        <v>22</v>
      </c>
      <c r="E603" s="27" t="n">
        <v>27</v>
      </c>
      <c r="F603" s="27" t="n">
        <v>30</v>
      </c>
      <c r="G603" s="27" t="n">
        <v>38</v>
      </c>
      <c r="H603" s="27" t="n">
        <v>2</v>
      </c>
      <c r="J603" s="27">
        <f>SUMPRODUCT(COUNTIFS(확률!$J$2:$J$46, 원본!B603:G603, 확률!$M$2:$M$46, "&lt;=20"))</f>
        <v/>
      </c>
      <c r="K603" s="27">
        <f>SUMPRODUCT(COUNTIFS(확률!$J$2:$J$46, 원본!B603:G603, 확률!$M$2:$M$46, "&gt;=36"))</f>
        <v/>
      </c>
      <c r="L603" s="27">
        <f>6-J603-K603</f>
        <v/>
      </c>
    </row>
    <row r="604" ht="16.5" customHeight="1" s="28">
      <c r="A604" s="31" t="n">
        <v>603</v>
      </c>
      <c r="B604" s="27" t="n">
        <v>2</v>
      </c>
      <c r="C604" s="27" t="n">
        <v>19</v>
      </c>
      <c r="D604" s="27" t="n">
        <v>25</v>
      </c>
      <c r="E604" s="27" t="n">
        <v>26</v>
      </c>
      <c r="F604" s="27" t="n">
        <v>27</v>
      </c>
      <c r="G604" s="27" t="n">
        <v>43</v>
      </c>
      <c r="H604" s="27" t="n">
        <v>28</v>
      </c>
      <c r="J604" s="27">
        <f>SUMPRODUCT(COUNTIFS(확률!$J$2:$J$46, 원본!B604:G604, 확률!$M$2:$M$46, "&lt;=20"))</f>
        <v/>
      </c>
      <c r="K604" s="27">
        <f>SUMPRODUCT(COUNTIFS(확률!$J$2:$J$46, 원본!B604:G604, 확률!$M$2:$M$46, "&gt;=36"))</f>
        <v/>
      </c>
      <c r="L604" s="27">
        <f>6-J604-K604</f>
        <v/>
      </c>
    </row>
    <row r="605" ht="16.5" customHeight="1" s="28">
      <c r="A605" s="31" t="n">
        <v>604</v>
      </c>
      <c r="B605" s="27" t="n">
        <v>2</v>
      </c>
      <c r="C605" s="27" t="n">
        <v>6</v>
      </c>
      <c r="D605" s="27" t="n">
        <v>18</v>
      </c>
      <c r="E605" s="27" t="n">
        <v>21</v>
      </c>
      <c r="F605" s="27" t="n">
        <v>33</v>
      </c>
      <c r="G605" s="27" t="n">
        <v>34</v>
      </c>
      <c r="H605" s="27" t="n">
        <v>30</v>
      </c>
      <c r="J605" s="27">
        <f>SUMPRODUCT(COUNTIFS(확률!$J$2:$J$46, 원본!B605:G605, 확률!$M$2:$M$46, "&lt;=20"))</f>
        <v/>
      </c>
      <c r="K605" s="27">
        <f>SUMPRODUCT(COUNTIFS(확률!$J$2:$J$46, 원본!B605:G605, 확률!$M$2:$M$46, "&gt;=36"))</f>
        <v/>
      </c>
      <c r="L605" s="27">
        <f>6-J605-K605</f>
        <v/>
      </c>
    </row>
    <row r="606" ht="16.5" customHeight="1" s="28">
      <c r="A606" s="31" t="n">
        <v>605</v>
      </c>
      <c r="B606" s="27" t="n">
        <v>1</v>
      </c>
      <c r="C606" s="27" t="n">
        <v>2</v>
      </c>
      <c r="D606" s="27" t="n">
        <v>7</v>
      </c>
      <c r="E606" s="27" t="n">
        <v>9</v>
      </c>
      <c r="F606" s="27" t="n">
        <v>10</v>
      </c>
      <c r="G606" s="27" t="n">
        <v>38</v>
      </c>
      <c r="H606" s="27" t="n">
        <v>42</v>
      </c>
      <c r="J606" s="27">
        <f>SUMPRODUCT(COUNTIFS(확률!$J$2:$J$46, 원본!B606:G606, 확률!$M$2:$M$46, "&lt;=20"))</f>
        <v/>
      </c>
      <c r="K606" s="27">
        <f>SUMPRODUCT(COUNTIFS(확률!$J$2:$J$46, 원본!B606:G606, 확률!$M$2:$M$46, "&gt;=36"))</f>
        <v/>
      </c>
      <c r="L606" s="27">
        <f>6-J606-K606</f>
        <v/>
      </c>
    </row>
    <row r="607" ht="16.5" customHeight="1" s="28">
      <c r="A607" s="31" t="n">
        <v>606</v>
      </c>
      <c r="B607" s="27" t="n">
        <v>1</v>
      </c>
      <c r="C607" s="27" t="n">
        <v>5</v>
      </c>
      <c r="D607" s="27" t="n">
        <v>6</v>
      </c>
      <c r="E607" s="27" t="n">
        <v>14</v>
      </c>
      <c r="F607" s="27" t="n">
        <v>20</v>
      </c>
      <c r="G607" s="27" t="n">
        <v>39</v>
      </c>
      <c r="H607" s="27" t="n">
        <v>22</v>
      </c>
      <c r="J607" s="27">
        <f>SUMPRODUCT(COUNTIFS(확률!$J$2:$J$46, 원본!B607:G607, 확률!$M$2:$M$46, "&lt;=20"))</f>
        <v/>
      </c>
      <c r="K607" s="27">
        <f>SUMPRODUCT(COUNTIFS(확률!$J$2:$J$46, 원본!B607:G607, 확률!$M$2:$M$46, "&gt;=36"))</f>
        <v/>
      </c>
      <c r="L607" s="27">
        <f>6-J607-K607</f>
        <v/>
      </c>
    </row>
    <row r="608" ht="16.5" customHeight="1" s="28">
      <c r="A608" s="31" t="n">
        <v>607</v>
      </c>
      <c r="B608" s="27" t="n">
        <v>8</v>
      </c>
      <c r="C608" s="27" t="n">
        <v>14</v>
      </c>
      <c r="D608" s="27" t="n">
        <v>23</v>
      </c>
      <c r="E608" s="27" t="n">
        <v>36</v>
      </c>
      <c r="F608" s="27" t="n">
        <v>38</v>
      </c>
      <c r="G608" s="27" t="n">
        <v>39</v>
      </c>
      <c r="H608" s="27" t="n">
        <v>13</v>
      </c>
      <c r="J608" s="27">
        <f>SUMPRODUCT(COUNTIFS(확률!$J$2:$J$46, 원본!B608:G608, 확률!$M$2:$M$46, "&lt;=20"))</f>
        <v/>
      </c>
      <c r="K608" s="27">
        <f>SUMPRODUCT(COUNTIFS(확률!$J$2:$J$46, 원본!B608:G608, 확률!$M$2:$M$46, "&gt;=36"))</f>
        <v/>
      </c>
      <c r="L608" s="27">
        <f>6-J608-K608</f>
        <v/>
      </c>
    </row>
    <row r="609" ht="16.5" customHeight="1" s="28">
      <c r="A609" s="31" t="n">
        <v>608</v>
      </c>
      <c r="B609" s="27" t="n">
        <v>4</v>
      </c>
      <c r="C609" s="27" t="n">
        <v>8</v>
      </c>
      <c r="D609" s="27" t="n">
        <v>18</v>
      </c>
      <c r="E609" s="27" t="n">
        <v>19</v>
      </c>
      <c r="F609" s="27" t="n">
        <v>39</v>
      </c>
      <c r="G609" s="27" t="n">
        <v>44</v>
      </c>
      <c r="H609" s="27" t="n">
        <v>41</v>
      </c>
      <c r="J609" s="27">
        <f>SUMPRODUCT(COUNTIFS(확률!$J$2:$J$46, 원본!B609:G609, 확률!$M$2:$M$46, "&lt;=20"))</f>
        <v/>
      </c>
      <c r="K609" s="27">
        <f>SUMPRODUCT(COUNTIFS(확률!$J$2:$J$46, 원본!B609:G609, 확률!$M$2:$M$46, "&gt;=36"))</f>
        <v/>
      </c>
      <c r="L609" s="27">
        <f>6-J609-K609</f>
        <v/>
      </c>
    </row>
    <row r="610" ht="16.5" customHeight="1" s="28">
      <c r="A610" s="31" t="n">
        <v>609</v>
      </c>
      <c r="B610" s="27" t="n">
        <v>4</v>
      </c>
      <c r="C610" s="27" t="n">
        <v>8</v>
      </c>
      <c r="D610" s="27" t="n">
        <v>27</v>
      </c>
      <c r="E610" s="27" t="n">
        <v>34</v>
      </c>
      <c r="F610" s="27" t="n">
        <v>39</v>
      </c>
      <c r="G610" s="27" t="n">
        <v>40</v>
      </c>
      <c r="H610" s="27" t="n">
        <v>13</v>
      </c>
      <c r="J610" s="27">
        <f>SUMPRODUCT(COUNTIFS(확률!$J$2:$J$46, 원본!B610:G610, 확률!$M$2:$M$46, "&lt;=20"))</f>
        <v/>
      </c>
      <c r="K610" s="27">
        <f>SUMPRODUCT(COUNTIFS(확률!$J$2:$J$46, 원본!B610:G610, 확률!$M$2:$M$46, "&gt;=36"))</f>
        <v/>
      </c>
      <c r="L610" s="27">
        <f>6-J610-K610</f>
        <v/>
      </c>
    </row>
    <row r="611" ht="16.5" customHeight="1" s="28">
      <c r="A611" s="31" t="n">
        <v>610</v>
      </c>
      <c r="B611" s="27" t="n">
        <v>14</v>
      </c>
      <c r="C611" s="27" t="n">
        <v>18</v>
      </c>
      <c r="D611" s="27" t="n">
        <v>20</v>
      </c>
      <c r="E611" s="27" t="n">
        <v>23</v>
      </c>
      <c r="F611" s="27" t="n">
        <v>28</v>
      </c>
      <c r="G611" s="27" t="n">
        <v>36</v>
      </c>
      <c r="H611" s="27" t="n">
        <v>33</v>
      </c>
      <c r="J611" s="27">
        <f>SUMPRODUCT(COUNTIFS(확률!$J$2:$J$46, 원본!B611:G611, 확률!$M$2:$M$46, "&lt;=20"))</f>
        <v/>
      </c>
      <c r="K611" s="27">
        <f>SUMPRODUCT(COUNTIFS(확률!$J$2:$J$46, 원본!B611:G611, 확률!$M$2:$M$46, "&gt;=36"))</f>
        <v/>
      </c>
      <c r="L611" s="27">
        <f>6-J611-K611</f>
        <v/>
      </c>
    </row>
    <row r="612" ht="16.5" customHeight="1" s="28">
      <c r="A612" s="31" t="n">
        <v>611</v>
      </c>
      <c r="B612" s="27" t="n">
        <v>2</v>
      </c>
      <c r="C612" s="27" t="n">
        <v>22</v>
      </c>
      <c r="D612" s="27" t="n">
        <v>27</v>
      </c>
      <c r="E612" s="27" t="n">
        <v>33</v>
      </c>
      <c r="F612" s="27" t="n">
        <v>36</v>
      </c>
      <c r="G612" s="27" t="n">
        <v>37</v>
      </c>
      <c r="H612" s="27" t="n">
        <v>14</v>
      </c>
      <c r="J612" s="27">
        <f>SUMPRODUCT(COUNTIFS(확률!$J$2:$J$46, 원본!B612:G612, 확률!$M$2:$M$46, "&lt;=20"))</f>
        <v/>
      </c>
      <c r="K612" s="27">
        <f>SUMPRODUCT(COUNTIFS(확률!$J$2:$J$46, 원본!B612:G612, 확률!$M$2:$M$46, "&gt;=36"))</f>
        <v/>
      </c>
      <c r="L612" s="27">
        <f>6-J612-K612</f>
        <v/>
      </c>
    </row>
    <row r="613" ht="16.5" customHeight="1" s="28">
      <c r="A613" s="31" t="n">
        <v>612</v>
      </c>
      <c r="B613" s="27" t="n">
        <v>6</v>
      </c>
      <c r="C613" s="27" t="n">
        <v>9</v>
      </c>
      <c r="D613" s="27" t="n">
        <v>18</v>
      </c>
      <c r="E613" s="27" t="n">
        <v>19</v>
      </c>
      <c r="F613" s="27" t="n">
        <v>25</v>
      </c>
      <c r="G613" s="27" t="n">
        <v>33</v>
      </c>
      <c r="H613" s="27" t="n">
        <v>40</v>
      </c>
      <c r="J613" s="27">
        <f>SUMPRODUCT(COUNTIFS(확률!$J$2:$J$46, 원본!B613:G613, 확률!$M$2:$M$46, "&lt;=20"))</f>
        <v/>
      </c>
      <c r="K613" s="27">
        <f>SUMPRODUCT(COUNTIFS(확률!$J$2:$J$46, 원본!B613:G613, 확률!$M$2:$M$46, "&gt;=36"))</f>
        <v/>
      </c>
      <c r="L613" s="27">
        <f>6-J613-K613</f>
        <v/>
      </c>
    </row>
    <row r="614" ht="16.5" customHeight="1" s="28">
      <c r="A614" s="31" t="n">
        <v>613</v>
      </c>
      <c r="B614" s="27" t="n">
        <v>7</v>
      </c>
      <c r="C614" s="27" t="n">
        <v>8</v>
      </c>
      <c r="D614" s="27" t="n">
        <v>11</v>
      </c>
      <c r="E614" s="27" t="n">
        <v>16</v>
      </c>
      <c r="F614" s="27" t="n">
        <v>41</v>
      </c>
      <c r="G614" s="27" t="n">
        <v>44</v>
      </c>
      <c r="H614" s="27" t="n">
        <v>35</v>
      </c>
      <c r="J614" s="27">
        <f>SUMPRODUCT(COUNTIFS(확률!$J$2:$J$46, 원본!B614:G614, 확률!$M$2:$M$46, "&lt;=20"))</f>
        <v/>
      </c>
      <c r="K614" s="27">
        <f>SUMPRODUCT(COUNTIFS(확률!$J$2:$J$46, 원본!B614:G614, 확률!$M$2:$M$46, "&gt;=36"))</f>
        <v/>
      </c>
      <c r="L614" s="27">
        <f>6-J614-K614</f>
        <v/>
      </c>
    </row>
    <row r="615" ht="16.5" customHeight="1" s="28">
      <c r="A615" s="31" t="n">
        <v>614</v>
      </c>
      <c r="B615" s="27" t="n">
        <v>8</v>
      </c>
      <c r="C615" s="27" t="n">
        <v>21</v>
      </c>
      <c r="D615" s="27" t="n">
        <v>25</v>
      </c>
      <c r="E615" s="27" t="n">
        <v>39</v>
      </c>
      <c r="F615" s="27" t="n">
        <v>40</v>
      </c>
      <c r="G615" s="27" t="n">
        <v>44</v>
      </c>
      <c r="H615" s="27" t="n">
        <v>18</v>
      </c>
      <c r="J615" s="27">
        <f>SUMPRODUCT(COUNTIFS(확률!$J$2:$J$46, 원본!B615:G615, 확률!$M$2:$M$46, "&lt;=20"))</f>
        <v/>
      </c>
      <c r="K615" s="27">
        <f>SUMPRODUCT(COUNTIFS(확률!$J$2:$J$46, 원본!B615:G615, 확률!$M$2:$M$46, "&gt;=36"))</f>
        <v/>
      </c>
      <c r="L615" s="27">
        <f>6-J615-K615</f>
        <v/>
      </c>
    </row>
    <row r="616" ht="16.5" customHeight="1" s="28">
      <c r="A616" s="31" t="n">
        <v>615</v>
      </c>
      <c r="B616" s="27" t="n">
        <v>10</v>
      </c>
      <c r="C616" s="27" t="n">
        <v>17</v>
      </c>
      <c r="D616" s="27" t="n">
        <v>18</v>
      </c>
      <c r="E616" s="27" t="n">
        <v>19</v>
      </c>
      <c r="F616" s="27" t="n">
        <v>23</v>
      </c>
      <c r="G616" s="27" t="n">
        <v>27</v>
      </c>
      <c r="H616" s="27" t="n">
        <v>35</v>
      </c>
      <c r="J616" s="27">
        <f>SUMPRODUCT(COUNTIFS(확률!$J$2:$J$46, 원본!B616:G616, 확률!$M$2:$M$46, "&lt;=20"))</f>
        <v/>
      </c>
      <c r="K616" s="27">
        <f>SUMPRODUCT(COUNTIFS(확률!$J$2:$J$46, 원본!B616:G616, 확률!$M$2:$M$46, "&gt;=36"))</f>
        <v/>
      </c>
      <c r="L616" s="27">
        <f>6-J616-K616</f>
        <v/>
      </c>
    </row>
    <row r="617" ht="16.5" customHeight="1" s="28">
      <c r="A617" s="31" t="n">
        <v>616</v>
      </c>
      <c r="B617" s="27" t="n">
        <v>5</v>
      </c>
      <c r="C617" s="27" t="n">
        <v>13</v>
      </c>
      <c r="D617" s="27" t="n">
        <v>18</v>
      </c>
      <c r="E617" s="27" t="n">
        <v>23</v>
      </c>
      <c r="F617" s="27" t="n">
        <v>40</v>
      </c>
      <c r="G617" s="27" t="n">
        <v>45</v>
      </c>
      <c r="H617" s="27" t="n">
        <v>3</v>
      </c>
      <c r="J617" s="27">
        <f>SUMPRODUCT(COUNTIFS(확률!$J$2:$J$46, 원본!B617:G617, 확률!$M$2:$M$46, "&lt;=20"))</f>
        <v/>
      </c>
      <c r="K617" s="27">
        <f>SUMPRODUCT(COUNTIFS(확률!$J$2:$J$46, 원본!B617:G617, 확률!$M$2:$M$46, "&gt;=36"))</f>
        <v/>
      </c>
      <c r="L617" s="27">
        <f>6-J617-K617</f>
        <v/>
      </c>
    </row>
    <row r="618" ht="16.5" customHeight="1" s="28">
      <c r="A618" s="31" t="n">
        <v>617</v>
      </c>
      <c r="B618" s="27" t="n">
        <v>4</v>
      </c>
      <c r="C618" s="27" t="n">
        <v>5</v>
      </c>
      <c r="D618" s="27" t="n">
        <v>11</v>
      </c>
      <c r="E618" s="27" t="n">
        <v>12</v>
      </c>
      <c r="F618" s="27" t="n">
        <v>24</v>
      </c>
      <c r="G618" s="27" t="n">
        <v>27</v>
      </c>
      <c r="H618" s="27" t="n">
        <v>28</v>
      </c>
      <c r="J618" s="27">
        <f>SUMPRODUCT(COUNTIFS(확률!$J$2:$J$46, 원본!B618:G618, 확률!$M$2:$M$46, "&lt;=20"))</f>
        <v/>
      </c>
      <c r="K618" s="27">
        <f>SUMPRODUCT(COUNTIFS(확률!$J$2:$J$46, 원본!B618:G618, 확률!$M$2:$M$46, "&gt;=36"))</f>
        <v/>
      </c>
      <c r="L618" s="27">
        <f>6-J618-K618</f>
        <v/>
      </c>
    </row>
    <row r="619" ht="16.5" customHeight="1" s="28">
      <c r="A619" s="31" t="n">
        <v>618</v>
      </c>
      <c r="B619" s="27" t="n">
        <v>8</v>
      </c>
      <c r="C619" s="27" t="n">
        <v>16</v>
      </c>
      <c r="D619" s="27" t="n">
        <v>25</v>
      </c>
      <c r="E619" s="27" t="n">
        <v>30</v>
      </c>
      <c r="F619" s="27" t="n">
        <v>42</v>
      </c>
      <c r="G619" s="27" t="n">
        <v>43</v>
      </c>
      <c r="H619" s="27" t="n">
        <v>15</v>
      </c>
      <c r="J619" s="27">
        <f>SUMPRODUCT(COUNTIFS(확률!$J$2:$J$46, 원본!B619:G619, 확률!$M$2:$M$46, "&lt;=20"))</f>
        <v/>
      </c>
      <c r="K619" s="27">
        <f>SUMPRODUCT(COUNTIFS(확률!$J$2:$J$46, 원본!B619:G619, 확률!$M$2:$M$46, "&gt;=36"))</f>
        <v/>
      </c>
      <c r="L619" s="27">
        <f>6-J619-K619</f>
        <v/>
      </c>
    </row>
    <row r="620" ht="16.5" customHeight="1" s="28">
      <c r="A620" s="31" t="n">
        <v>619</v>
      </c>
      <c r="B620" s="27" t="n">
        <v>6</v>
      </c>
      <c r="C620" s="27" t="n">
        <v>8</v>
      </c>
      <c r="D620" s="27" t="n">
        <v>13</v>
      </c>
      <c r="E620" s="27" t="n">
        <v>30</v>
      </c>
      <c r="F620" s="27" t="n">
        <v>35</v>
      </c>
      <c r="G620" s="27" t="n">
        <v>40</v>
      </c>
      <c r="H620" s="27" t="n">
        <v>21</v>
      </c>
      <c r="J620" s="27">
        <f>SUMPRODUCT(COUNTIFS(확률!$J$2:$J$46, 원본!B620:G620, 확률!$M$2:$M$46, "&lt;=20"))</f>
        <v/>
      </c>
      <c r="K620" s="27">
        <f>SUMPRODUCT(COUNTIFS(확률!$J$2:$J$46, 원본!B620:G620, 확률!$M$2:$M$46, "&gt;=36"))</f>
        <v/>
      </c>
      <c r="L620" s="27">
        <f>6-J620-K620</f>
        <v/>
      </c>
    </row>
    <row r="621" ht="16.5" customHeight="1" s="28">
      <c r="A621" s="31" t="n">
        <v>620</v>
      </c>
      <c r="B621" s="27" t="n">
        <v>2</v>
      </c>
      <c r="C621" s="27" t="n">
        <v>16</v>
      </c>
      <c r="D621" s="27" t="n">
        <v>17</v>
      </c>
      <c r="E621" s="27" t="n">
        <v>32</v>
      </c>
      <c r="F621" s="27" t="n">
        <v>39</v>
      </c>
      <c r="G621" s="27" t="n">
        <v>45</v>
      </c>
      <c r="H621" s="27" t="n">
        <v>40</v>
      </c>
      <c r="J621" s="27">
        <f>SUMPRODUCT(COUNTIFS(확률!$J$2:$J$46, 원본!B621:G621, 확률!$M$2:$M$46, "&lt;=20"))</f>
        <v/>
      </c>
      <c r="K621" s="27">
        <f>SUMPRODUCT(COUNTIFS(확률!$J$2:$J$46, 원본!B621:G621, 확률!$M$2:$M$46, "&gt;=36"))</f>
        <v/>
      </c>
      <c r="L621" s="27">
        <f>6-J621-K621</f>
        <v/>
      </c>
    </row>
    <row r="622" ht="16.5" customHeight="1" s="28">
      <c r="A622" s="31" t="n">
        <v>621</v>
      </c>
      <c r="B622" s="27" t="n">
        <v>1</v>
      </c>
      <c r="C622" s="27" t="n">
        <v>2</v>
      </c>
      <c r="D622" s="27" t="n">
        <v>6</v>
      </c>
      <c r="E622" s="27" t="n">
        <v>16</v>
      </c>
      <c r="F622" s="27" t="n">
        <v>19</v>
      </c>
      <c r="G622" s="27" t="n">
        <v>42</v>
      </c>
      <c r="H622" s="27" t="n">
        <v>9</v>
      </c>
      <c r="J622" s="27">
        <f>SUMPRODUCT(COUNTIFS(확률!$J$2:$J$46, 원본!B622:G622, 확률!$M$2:$M$46, "&lt;=20"))</f>
        <v/>
      </c>
      <c r="K622" s="27">
        <f>SUMPRODUCT(COUNTIFS(확률!$J$2:$J$46, 원본!B622:G622, 확률!$M$2:$M$46, "&gt;=36"))</f>
        <v/>
      </c>
      <c r="L622" s="27">
        <f>6-J622-K622</f>
        <v/>
      </c>
    </row>
    <row r="623" ht="16.5" customHeight="1" s="28">
      <c r="A623" s="31" t="n">
        <v>622</v>
      </c>
      <c r="B623" s="27" t="n">
        <v>9</v>
      </c>
      <c r="C623" s="27" t="n">
        <v>15</v>
      </c>
      <c r="D623" s="27" t="n">
        <v>16</v>
      </c>
      <c r="E623" s="27" t="n">
        <v>21</v>
      </c>
      <c r="F623" s="27" t="n">
        <v>28</v>
      </c>
      <c r="G623" s="27" t="n">
        <v>34</v>
      </c>
      <c r="H623" s="27" t="n">
        <v>24</v>
      </c>
      <c r="J623" s="27">
        <f>SUMPRODUCT(COUNTIFS(확률!$J$2:$J$46, 원본!B623:G623, 확률!$M$2:$M$46, "&lt;=20"))</f>
        <v/>
      </c>
      <c r="K623" s="27">
        <f>SUMPRODUCT(COUNTIFS(확률!$J$2:$J$46, 원본!B623:G623, 확률!$M$2:$M$46, "&gt;=36"))</f>
        <v/>
      </c>
      <c r="L623" s="27">
        <f>6-J623-K623</f>
        <v/>
      </c>
    </row>
    <row r="624" ht="16.5" customHeight="1" s="28">
      <c r="A624" s="31" t="n">
        <v>623</v>
      </c>
      <c r="B624" s="27" t="n">
        <v>7</v>
      </c>
      <c r="C624" s="27" t="n">
        <v>13</v>
      </c>
      <c r="D624" s="27" t="n">
        <v>30</v>
      </c>
      <c r="E624" s="27" t="n">
        <v>39</v>
      </c>
      <c r="F624" s="27" t="n">
        <v>41</v>
      </c>
      <c r="G624" s="27" t="n">
        <v>45</v>
      </c>
      <c r="H624" s="27" t="n">
        <v>25</v>
      </c>
      <c r="J624" s="27">
        <f>SUMPRODUCT(COUNTIFS(확률!$J$2:$J$46, 원본!B624:G624, 확률!$M$2:$M$46, "&lt;=20"))</f>
        <v/>
      </c>
      <c r="K624" s="27">
        <f>SUMPRODUCT(COUNTIFS(확률!$J$2:$J$46, 원본!B624:G624, 확률!$M$2:$M$46, "&gt;=36"))</f>
        <v/>
      </c>
      <c r="L624" s="27">
        <f>6-J624-K624</f>
        <v/>
      </c>
    </row>
    <row r="625" ht="16.5" customHeight="1" s="28">
      <c r="A625" s="31" t="n">
        <v>624</v>
      </c>
      <c r="B625" s="27" t="n">
        <v>1</v>
      </c>
      <c r="C625" s="27" t="n">
        <v>7</v>
      </c>
      <c r="D625" s="27" t="n">
        <v>19</v>
      </c>
      <c r="E625" s="27" t="n">
        <v>26</v>
      </c>
      <c r="F625" s="27" t="n">
        <v>27</v>
      </c>
      <c r="G625" s="27" t="n">
        <v>35</v>
      </c>
      <c r="H625" s="27" t="n">
        <v>16</v>
      </c>
      <c r="J625" s="27">
        <f>SUMPRODUCT(COUNTIFS(확률!$J$2:$J$46, 원본!B625:G625, 확률!$M$2:$M$46, "&lt;=20"))</f>
        <v/>
      </c>
      <c r="K625" s="27">
        <f>SUMPRODUCT(COUNTIFS(확률!$J$2:$J$46, 원본!B625:G625, 확률!$M$2:$M$46, "&gt;=36"))</f>
        <v/>
      </c>
      <c r="L625" s="27">
        <f>6-J625-K625</f>
        <v/>
      </c>
    </row>
    <row r="626" ht="16.5" customHeight="1" s="28">
      <c r="A626" s="31" t="n">
        <v>625</v>
      </c>
      <c r="B626" s="27" t="n">
        <v>3</v>
      </c>
      <c r="C626" s="27" t="n">
        <v>6</v>
      </c>
      <c r="D626" s="27" t="n">
        <v>7</v>
      </c>
      <c r="E626" s="27" t="n">
        <v>20</v>
      </c>
      <c r="F626" s="27" t="n">
        <v>21</v>
      </c>
      <c r="G626" s="27" t="n">
        <v>39</v>
      </c>
      <c r="H626" s="27" t="n">
        <v>13</v>
      </c>
      <c r="J626" s="27">
        <f>SUMPRODUCT(COUNTIFS(확률!$J$2:$J$46, 원본!B626:G626, 확률!$M$2:$M$46, "&lt;=20"))</f>
        <v/>
      </c>
      <c r="K626" s="27">
        <f>SUMPRODUCT(COUNTIFS(확률!$J$2:$J$46, 원본!B626:G626, 확률!$M$2:$M$46, "&gt;=36"))</f>
        <v/>
      </c>
      <c r="L626" s="27">
        <f>6-J626-K626</f>
        <v/>
      </c>
    </row>
    <row r="627" ht="16.5" customHeight="1" s="28">
      <c r="A627" s="31" t="n">
        <v>626</v>
      </c>
      <c r="B627" s="27" t="n">
        <v>13</v>
      </c>
      <c r="C627" s="27" t="n">
        <v>14</v>
      </c>
      <c r="D627" s="27" t="n">
        <v>26</v>
      </c>
      <c r="E627" s="27" t="n">
        <v>33</v>
      </c>
      <c r="F627" s="27" t="n">
        <v>40</v>
      </c>
      <c r="G627" s="27" t="n">
        <v>43</v>
      </c>
      <c r="H627" s="27" t="n">
        <v>15</v>
      </c>
      <c r="J627" s="27">
        <f>SUMPRODUCT(COUNTIFS(확률!$J$2:$J$46, 원본!B627:G627, 확률!$M$2:$M$46, "&lt;=20"))</f>
        <v/>
      </c>
      <c r="K627" s="27">
        <f>SUMPRODUCT(COUNTIFS(확률!$J$2:$J$46, 원본!B627:G627, 확률!$M$2:$M$46, "&gt;=36"))</f>
        <v/>
      </c>
      <c r="L627" s="27">
        <f>6-J627-K627</f>
        <v/>
      </c>
    </row>
    <row r="628" ht="16.5" customHeight="1" s="28">
      <c r="A628" s="31" t="n">
        <v>627</v>
      </c>
      <c r="B628" s="27" t="n">
        <v>2</v>
      </c>
      <c r="C628" s="27" t="n">
        <v>9</v>
      </c>
      <c r="D628" s="27" t="n">
        <v>22</v>
      </c>
      <c r="E628" s="27" t="n">
        <v>25</v>
      </c>
      <c r="F628" s="27" t="n">
        <v>31</v>
      </c>
      <c r="G628" s="27" t="n">
        <v>45</v>
      </c>
      <c r="H628" s="27" t="n">
        <v>12</v>
      </c>
      <c r="J628" s="27">
        <f>SUMPRODUCT(COUNTIFS(확률!$J$2:$J$46, 원본!B628:G628, 확률!$M$2:$M$46, "&lt;=20"))</f>
        <v/>
      </c>
      <c r="K628" s="27">
        <f>SUMPRODUCT(COUNTIFS(확률!$J$2:$J$46, 원본!B628:G628, 확률!$M$2:$M$46, "&gt;=36"))</f>
        <v/>
      </c>
      <c r="L628" s="27">
        <f>6-J628-K628</f>
        <v/>
      </c>
    </row>
    <row r="629" ht="16.5" customHeight="1" s="28">
      <c r="A629" s="31" t="n">
        <v>628</v>
      </c>
      <c r="B629" s="27" t="n">
        <v>1</v>
      </c>
      <c r="C629" s="27" t="n">
        <v>7</v>
      </c>
      <c r="D629" s="27" t="n">
        <v>12</v>
      </c>
      <c r="E629" s="27" t="n">
        <v>15</v>
      </c>
      <c r="F629" s="27" t="n">
        <v>23</v>
      </c>
      <c r="G629" s="27" t="n">
        <v>42</v>
      </c>
      <c r="H629" s="27" t="n">
        <v>11</v>
      </c>
      <c r="J629" s="27">
        <f>SUMPRODUCT(COUNTIFS(확률!$J$2:$J$46, 원본!B629:G629, 확률!$M$2:$M$46, "&lt;=20"))</f>
        <v/>
      </c>
      <c r="K629" s="27">
        <f>SUMPRODUCT(COUNTIFS(확률!$J$2:$J$46, 원본!B629:G629, 확률!$M$2:$M$46, "&gt;=36"))</f>
        <v/>
      </c>
      <c r="L629" s="27">
        <f>6-J629-K629</f>
        <v/>
      </c>
    </row>
    <row r="630" ht="16.5" customHeight="1" s="28">
      <c r="A630" s="31" t="n">
        <v>629</v>
      </c>
      <c r="B630" s="27" t="n">
        <v>19</v>
      </c>
      <c r="C630" s="27" t="n">
        <v>28</v>
      </c>
      <c r="D630" s="27" t="n">
        <v>31</v>
      </c>
      <c r="E630" s="27" t="n">
        <v>38</v>
      </c>
      <c r="F630" s="27" t="n">
        <v>43</v>
      </c>
      <c r="G630" s="27" t="n">
        <v>44</v>
      </c>
      <c r="H630" s="27" t="n">
        <v>1</v>
      </c>
      <c r="J630" s="27">
        <f>SUMPRODUCT(COUNTIFS(확률!$J$2:$J$46, 원본!B630:G630, 확률!$M$2:$M$46, "&lt;=20"))</f>
        <v/>
      </c>
      <c r="K630" s="27">
        <f>SUMPRODUCT(COUNTIFS(확률!$J$2:$J$46, 원본!B630:G630, 확률!$M$2:$M$46, "&gt;=36"))</f>
        <v/>
      </c>
      <c r="L630" s="27">
        <f>6-J630-K630</f>
        <v/>
      </c>
    </row>
    <row r="631" ht="16.5" customHeight="1" s="28">
      <c r="A631" s="31" t="n">
        <v>630</v>
      </c>
      <c r="B631" s="27" t="n">
        <v>8</v>
      </c>
      <c r="C631" s="27" t="n">
        <v>17</v>
      </c>
      <c r="D631" s="27" t="n">
        <v>21</v>
      </c>
      <c r="E631" s="27" t="n">
        <v>24</v>
      </c>
      <c r="F631" s="27" t="n">
        <v>27</v>
      </c>
      <c r="G631" s="27" t="n">
        <v>31</v>
      </c>
      <c r="H631" s="27" t="n">
        <v>15</v>
      </c>
      <c r="J631" s="27">
        <f>SUMPRODUCT(COUNTIFS(확률!$J$2:$J$46, 원본!B631:G631, 확률!$M$2:$M$46, "&lt;=20"))</f>
        <v/>
      </c>
      <c r="K631" s="27">
        <f>SUMPRODUCT(COUNTIFS(확률!$J$2:$J$46, 원본!B631:G631, 확률!$M$2:$M$46, "&gt;=36"))</f>
        <v/>
      </c>
      <c r="L631" s="27">
        <f>6-J631-K631</f>
        <v/>
      </c>
    </row>
    <row r="632" ht="16.5" customHeight="1" s="28">
      <c r="A632" s="31" t="n">
        <v>631</v>
      </c>
      <c r="B632" s="27" t="n">
        <v>1</v>
      </c>
      <c r="C632" s="27" t="n">
        <v>2</v>
      </c>
      <c r="D632" s="27" t="n">
        <v>4</v>
      </c>
      <c r="E632" s="27" t="n">
        <v>23</v>
      </c>
      <c r="F632" s="27" t="n">
        <v>31</v>
      </c>
      <c r="G632" s="27" t="n">
        <v>34</v>
      </c>
      <c r="H632" s="27" t="n">
        <v>8</v>
      </c>
      <c r="J632" s="27">
        <f>SUMPRODUCT(COUNTIFS(확률!$J$2:$J$46, 원본!B632:G632, 확률!$M$2:$M$46, "&lt;=20"))</f>
        <v/>
      </c>
      <c r="K632" s="27">
        <f>SUMPRODUCT(COUNTIFS(확률!$J$2:$J$46, 원본!B632:G632, 확률!$M$2:$M$46, "&gt;=36"))</f>
        <v/>
      </c>
      <c r="L632" s="27">
        <f>6-J632-K632</f>
        <v/>
      </c>
    </row>
    <row r="633" ht="16.5" customHeight="1" s="28">
      <c r="A633" s="31" t="n">
        <v>632</v>
      </c>
      <c r="B633" s="27" t="n">
        <v>15</v>
      </c>
      <c r="C633" s="27" t="n">
        <v>18</v>
      </c>
      <c r="D633" s="27" t="n">
        <v>21</v>
      </c>
      <c r="E633" s="27" t="n">
        <v>32</v>
      </c>
      <c r="F633" s="27" t="n">
        <v>35</v>
      </c>
      <c r="G633" s="27" t="n">
        <v>44</v>
      </c>
      <c r="H633" s="27" t="n">
        <v>6</v>
      </c>
      <c r="J633" s="27">
        <f>SUMPRODUCT(COUNTIFS(확률!$J$2:$J$46, 원본!B633:G633, 확률!$M$2:$M$46, "&lt;=20"))</f>
        <v/>
      </c>
      <c r="K633" s="27">
        <f>SUMPRODUCT(COUNTIFS(확률!$J$2:$J$46, 원본!B633:G633, 확률!$M$2:$M$46, "&gt;=36"))</f>
        <v/>
      </c>
      <c r="L633" s="27">
        <f>6-J633-K633</f>
        <v/>
      </c>
    </row>
    <row r="634" ht="16.5" customHeight="1" s="28">
      <c r="A634" s="31" t="n">
        <v>633</v>
      </c>
      <c r="B634" s="27" t="n">
        <v>9</v>
      </c>
      <c r="C634" s="27" t="n">
        <v>12</v>
      </c>
      <c r="D634" s="27" t="n">
        <v>19</v>
      </c>
      <c r="E634" s="27" t="n">
        <v>20</v>
      </c>
      <c r="F634" s="27" t="n">
        <v>39</v>
      </c>
      <c r="G634" s="27" t="n">
        <v>41</v>
      </c>
      <c r="H634" s="27" t="n">
        <v>13</v>
      </c>
      <c r="J634" s="27">
        <f>SUMPRODUCT(COUNTIFS(확률!$J$2:$J$46, 원본!B634:G634, 확률!$M$2:$M$46, "&lt;=20"))</f>
        <v/>
      </c>
      <c r="K634" s="27">
        <f>SUMPRODUCT(COUNTIFS(확률!$J$2:$J$46, 원본!B634:G634, 확률!$M$2:$M$46, "&gt;=36"))</f>
        <v/>
      </c>
      <c r="L634" s="27">
        <f>6-J634-K634</f>
        <v/>
      </c>
    </row>
    <row r="635" ht="16.5" customHeight="1" s="28">
      <c r="A635" s="31" t="n">
        <v>634</v>
      </c>
      <c r="B635" s="27" t="n">
        <v>4</v>
      </c>
      <c r="C635" s="27" t="n">
        <v>10</v>
      </c>
      <c r="D635" s="27" t="n">
        <v>11</v>
      </c>
      <c r="E635" s="27" t="n">
        <v>12</v>
      </c>
      <c r="F635" s="27" t="n">
        <v>20</v>
      </c>
      <c r="G635" s="27" t="n">
        <v>27</v>
      </c>
      <c r="H635" s="27" t="n">
        <v>38</v>
      </c>
      <c r="J635" s="27">
        <f>SUMPRODUCT(COUNTIFS(확률!$J$2:$J$46, 원본!B635:G635, 확률!$M$2:$M$46, "&lt;=20"))</f>
        <v/>
      </c>
      <c r="K635" s="27">
        <f>SUMPRODUCT(COUNTIFS(확률!$J$2:$J$46, 원본!B635:G635, 확률!$M$2:$M$46, "&gt;=36"))</f>
        <v/>
      </c>
      <c r="L635" s="27">
        <f>6-J635-K635</f>
        <v/>
      </c>
    </row>
    <row r="636" ht="16.5" customHeight="1" s="28">
      <c r="A636" s="31" t="n">
        <v>635</v>
      </c>
      <c r="B636" s="27" t="n">
        <v>11</v>
      </c>
      <c r="C636" s="27" t="n">
        <v>13</v>
      </c>
      <c r="D636" s="27" t="n">
        <v>25</v>
      </c>
      <c r="E636" s="27" t="n">
        <v>26</v>
      </c>
      <c r="F636" s="27" t="n">
        <v>29</v>
      </c>
      <c r="G636" s="27" t="n">
        <v>33</v>
      </c>
      <c r="H636" s="27" t="n">
        <v>32</v>
      </c>
      <c r="J636" s="27">
        <f>SUMPRODUCT(COUNTIFS(확률!$J$2:$J$46, 원본!B636:G636, 확률!$M$2:$M$46, "&lt;=20"))</f>
        <v/>
      </c>
      <c r="K636" s="27">
        <f>SUMPRODUCT(COUNTIFS(확률!$J$2:$J$46, 원본!B636:G636, 확률!$M$2:$M$46, "&gt;=36"))</f>
        <v/>
      </c>
      <c r="L636" s="27">
        <f>6-J636-K636</f>
        <v/>
      </c>
    </row>
    <row r="637" ht="16.5" customHeight="1" s="28">
      <c r="A637" s="31" t="n">
        <v>636</v>
      </c>
      <c r="B637" s="27" t="n">
        <v>6</v>
      </c>
      <c r="C637" s="27" t="n">
        <v>7</v>
      </c>
      <c r="D637" s="27" t="n">
        <v>15</v>
      </c>
      <c r="E637" s="27" t="n">
        <v>16</v>
      </c>
      <c r="F637" s="27" t="n">
        <v>20</v>
      </c>
      <c r="G637" s="27" t="n">
        <v>31</v>
      </c>
      <c r="H637" s="27" t="n">
        <v>26</v>
      </c>
      <c r="J637" s="27">
        <f>SUMPRODUCT(COUNTIFS(확률!$J$2:$J$46, 원본!B637:G637, 확률!$M$2:$M$46, "&lt;=20"))</f>
        <v/>
      </c>
      <c r="K637" s="27">
        <f>SUMPRODUCT(COUNTIFS(확률!$J$2:$J$46, 원본!B637:G637, 확률!$M$2:$M$46, "&gt;=36"))</f>
        <v/>
      </c>
      <c r="L637" s="27">
        <f>6-J637-K637</f>
        <v/>
      </c>
    </row>
    <row r="638" ht="16.5" customHeight="1" s="28">
      <c r="A638" s="31" t="n">
        <v>637</v>
      </c>
      <c r="B638" s="27" t="n">
        <v>3</v>
      </c>
      <c r="C638" s="27" t="n">
        <v>16</v>
      </c>
      <c r="D638" s="27" t="n">
        <v>22</v>
      </c>
      <c r="E638" s="27" t="n">
        <v>37</v>
      </c>
      <c r="F638" s="27" t="n">
        <v>38</v>
      </c>
      <c r="G638" s="27" t="n">
        <v>44</v>
      </c>
      <c r="H638" s="27" t="n">
        <v>23</v>
      </c>
      <c r="J638" s="27">
        <f>SUMPRODUCT(COUNTIFS(확률!$J$2:$J$46, 원본!B638:G638, 확률!$M$2:$M$46, "&lt;=20"))</f>
        <v/>
      </c>
      <c r="K638" s="27">
        <f>SUMPRODUCT(COUNTIFS(확률!$J$2:$J$46, 원본!B638:G638, 확률!$M$2:$M$46, "&gt;=36"))</f>
        <v/>
      </c>
      <c r="L638" s="27">
        <f>6-J638-K638</f>
        <v/>
      </c>
    </row>
    <row r="639" ht="16.5" customHeight="1" s="28">
      <c r="A639" s="31" t="n">
        <v>638</v>
      </c>
      <c r="B639" s="27" t="n">
        <v>7</v>
      </c>
      <c r="C639" s="27" t="n">
        <v>18</v>
      </c>
      <c r="D639" s="27" t="n">
        <v>22</v>
      </c>
      <c r="E639" s="27" t="n">
        <v>24</v>
      </c>
      <c r="F639" s="27" t="n">
        <v>31</v>
      </c>
      <c r="G639" s="27" t="n">
        <v>34</v>
      </c>
      <c r="H639" s="27" t="n">
        <v>6</v>
      </c>
      <c r="J639" s="27">
        <f>SUMPRODUCT(COUNTIFS(확률!$J$2:$J$46, 원본!B639:G639, 확률!$M$2:$M$46, "&lt;=20"))</f>
        <v/>
      </c>
      <c r="K639" s="27">
        <f>SUMPRODUCT(COUNTIFS(확률!$J$2:$J$46, 원본!B639:G639, 확률!$M$2:$M$46, "&gt;=36"))</f>
        <v/>
      </c>
      <c r="L639" s="27">
        <f>6-J639-K639</f>
        <v/>
      </c>
    </row>
    <row r="640" ht="16.5" customHeight="1" s="28">
      <c r="A640" s="31" t="n">
        <v>639</v>
      </c>
      <c r="B640" s="27" t="n">
        <v>6</v>
      </c>
      <c r="C640" s="27" t="n">
        <v>15</v>
      </c>
      <c r="D640" s="27" t="n">
        <v>22</v>
      </c>
      <c r="E640" s="27" t="n">
        <v>23</v>
      </c>
      <c r="F640" s="27" t="n">
        <v>25</v>
      </c>
      <c r="G640" s="27" t="n">
        <v>32</v>
      </c>
      <c r="H640" s="27" t="n">
        <v>40</v>
      </c>
      <c r="J640" s="27">
        <f>SUMPRODUCT(COUNTIFS(확률!$J$2:$J$46, 원본!B640:G640, 확률!$M$2:$M$46, "&lt;=20"))</f>
        <v/>
      </c>
      <c r="K640" s="27">
        <f>SUMPRODUCT(COUNTIFS(확률!$J$2:$J$46, 원본!B640:G640, 확률!$M$2:$M$46, "&gt;=36"))</f>
        <v/>
      </c>
      <c r="L640" s="27">
        <f>6-J640-K640</f>
        <v/>
      </c>
    </row>
    <row r="641" ht="16.5" customHeight="1" s="28">
      <c r="A641" s="31" t="n">
        <v>640</v>
      </c>
      <c r="B641" s="27" t="n">
        <v>14</v>
      </c>
      <c r="C641" s="27" t="n">
        <v>15</v>
      </c>
      <c r="D641" s="27" t="n">
        <v>18</v>
      </c>
      <c r="E641" s="27" t="n">
        <v>21</v>
      </c>
      <c r="F641" s="27" t="n">
        <v>26</v>
      </c>
      <c r="G641" s="27" t="n">
        <v>35</v>
      </c>
      <c r="H641" s="27" t="n">
        <v>23</v>
      </c>
      <c r="J641" s="27">
        <f>SUMPRODUCT(COUNTIFS(확률!$J$2:$J$46, 원본!B641:G641, 확률!$M$2:$M$46, "&lt;=20"))</f>
        <v/>
      </c>
      <c r="K641" s="27">
        <f>SUMPRODUCT(COUNTIFS(확률!$J$2:$J$46, 원본!B641:G641, 확률!$M$2:$M$46, "&gt;=36"))</f>
        <v/>
      </c>
      <c r="L641" s="27">
        <f>6-J641-K641</f>
        <v/>
      </c>
    </row>
    <row r="642" ht="16.5" customHeight="1" s="28">
      <c r="A642" s="31" t="n">
        <v>641</v>
      </c>
      <c r="B642" s="27" t="n">
        <v>11</v>
      </c>
      <c r="C642" s="27" t="n">
        <v>18</v>
      </c>
      <c r="D642" s="27" t="n">
        <v>21</v>
      </c>
      <c r="E642" s="27" t="n">
        <v>36</v>
      </c>
      <c r="F642" s="27" t="n">
        <v>37</v>
      </c>
      <c r="G642" s="27" t="n">
        <v>43</v>
      </c>
      <c r="H642" s="27" t="n">
        <v>12</v>
      </c>
      <c r="J642" s="27">
        <f>SUMPRODUCT(COUNTIFS(확률!$J$2:$J$46, 원본!B642:G642, 확률!$M$2:$M$46, "&lt;=20"))</f>
        <v/>
      </c>
      <c r="K642" s="27">
        <f>SUMPRODUCT(COUNTIFS(확률!$J$2:$J$46, 원본!B642:G642, 확률!$M$2:$M$46, "&gt;=36"))</f>
        <v/>
      </c>
      <c r="L642" s="27">
        <f>6-J642-K642</f>
        <v/>
      </c>
    </row>
    <row r="643" ht="16.5" customHeight="1" s="28">
      <c r="A643" s="31" t="n">
        <v>642</v>
      </c>
      <c r="B643" s="27" t="n">
        <v>8</v>
      </c>
      <c r="C643" s="27" t="n">
        <v>17</v>
      </c>
      <c r="D643" s="27" t="n">
        <v>18</v>
      </c>
      <c r="E643" s="27" t="n">
        <v>24</v>
      </c>
      <c r="F643" s="27" t="n">
        <v>39</v>
      </c>
      <c r="G643" s="27" t="n">
        <v>45</v>
      </c>
      <c r="H643" s="27" t="n">
        <v>32</v>
      </c>
      <c r="J643" s="27">
        <f>SUMPRODUCT(COUNTIFS(확률!$J$2:$J$46, 원본!B643:G643, 확률!$M$2:$M$46, "&lt;=20"))</f>
        <v/>
      </c>
      <c r="K643" s="27">
        <f>SUMPRODUCT(COUNTIFS(확률!$J$2:$J$46, 원본!B643:G643, 확률!$M$2:$M$46, "&gt;=36"))</f>
        <v/>
      </c>
      <c r="L643" s="27">
        <f>6-J643-K643</f>
        <v/>
      </c>
    </row>
    <row r="644" ht="16.5" customHeight="1" s="28">
      <c r="A644" s="31" t="n">
        <v>643</v>
      </c>
      <c r="B644" s="27" t="n">
        <v>15</v>
      </c>
      <c r="C644" s="27" t="n">
        <v>24</v>
      </c>
      <c r="D644" s="27" t="n">
        <v>31</v>
      </c>
      <c r="E644" s="27" t="n">
        <v>32</v>
      </c>
      <c r="F644" s="27" t="n">
        <v>33</v>
      </c>
      <c r="G644" s="27" t="n">
        <v>40</v>
      </c>
      <c r="H644" s="27" t="n">
        <v>13</v>
      </c>
      <c r="J644" s="27">
        <f>SUMPRODUCT(COUNTIFS(확률!$J$2:$J$46, 원본!B644:G644, 확률!$M$2:$M$46, "&lt;=20"))</f>
        <v/>
      </c>
      <c r="K644" s="27">
        <f>SUMPRODUCT(COUNTIFS(확률!$J$2:$J$46, 원본!B644:G644, 확률!$M$2:$M$46, "&gt;=36"))</f>
        <v/>
      </c>
      <c r="L644" s="27">
        <f>6-J644-K644</f>
        <v/>
      </c>
    </row>
    <row r="645" ht="16.5" customHeight="1" s="28">
      <c r="A645" s="31" t="n">
        <v>644</v>
      </c>
      <c r="B645" s="27" t="n">
        <v>5</v>
      </c>
      <c r="C645" s="27" t="n">
        <v>13</v>
      </c>
      <c r="D645" s="27" t="n">
        <v>17</v>
      </c>
      <c r="E645" s="27" t="n">
        <v>23</v>
      </c>
      <c r="F645" s="27" t="n">
        <v>28</v>
      </c>
      <c r="G645" s="27" t="n">
        <v>36</v>
      </c>
      <c r="H645" s="27" t="n">
        <v>8</v>
      </c>
      <c r="J645" s="27">
        <f>SUMPRODUCT(COUNTIFS(확률!$J$2:$J$46, 원본!B645:G645, 확률!$M$2:$M$46, "&lt;=20"))</f>
        <v/>
      </c>
      <c r="K645" s="27">
        <f>SUMPRODUCT(COUNTIFS(확률!$J$2:$J$46, 원본!B645:G645, 확률!$M$2:$M$46, "&gt;=36"))</f>
        <v/>
      </c>
      <c r="L645" s="27">
        <f>6-J645-K645</f>
        <v/>
      </c>
    </row>
    <row r="646" ht="16.5" customHeight="1" s="28">
      <c r="A646" s="31" t="n">
        <v>645</v>
      </c>
      <c r="B646" s="27" t="n">
        <v>1</v>
      </c>
      <c r="C646" s="27" t="n">
        <v>4</v>
      </c>
      <c r="D646" s="27" t="n">
        <v>16</v>
      </c>
      <c r="E646" s="27" t="n">
        <v>26</v>
      </c>
      <c r="F646" s="27" t="n">
        <v>40</v>
      </c>
      <c r="G646" s="27" t="n">
        <v>41</v>
      </c>
      <c r="H646" s="27" t="n">
        <v>31</v>
      </c>
      <c r="J646" s="27">
        <f>SUMPRODUCT(COUNTIFS(확률!$J$2:$J$46, 원본!B646:G646, 확률!$M$2:$M$46, "&lt;=20"))</f>
        <v/>
      </c>
      <c r="K646" s="27">
        <f>SUMPRODUCT(COUNTIFS(확률!$J$2:$J$46, 원본!B646:G646, 확률!$M$2:$M$46, "&gt;=36"))</f>
        <v/>
      </c>
      <c r="L646" s="27">
        <f>6-J646-K646</f>
        <v/>
      </c>
    </row>
    <row r="647" ht="16.5" customHeight="1" s="28">
      <c r="A647" s="31" t="n">
        <v>646</v>
      </c>
      <c r="B647" s="27" t="n">
        <v>2</v>
      </c>
      <c r="C647" s="27" t="n">
        <v>9</v>
      </c>
      <c r="D647" s="27" t="n">
        <v>24</v>
      </c>
      <c r="E647" s="27" t="n">
        <v>41</v>
      </c>
      <c r="F647" s="27" t="n">
        <v>43</v>
      </c>
      <c r="G647" s="27" t="n">
        <v>45</v>
      </c>
      <c r="H647" s="27" t="n">
        <v>30</v>
      </c>
      <c r="J647" s="27">
        <f>SUMPRODUCT(COUNTIFS(확률!$J$2:$J$46, 원본!B647:G647, 확률!$M$2:$M$46, "&lt;=20"))</f>
        <v/>
      </c>
      <c r="K647" s="27">
        <f>SUMPRODUCT(COUNTIFS(확률!$J$2:$J$46, 원본!B647:G647, 확률!$M$2:$M$46, "&gt;=36"))</f>
        <v/>
      </c>
      <c r="L647" s="27">
        <f>6-J647-K647</f>
        <v/>
      </c>
    </row>
    <row r="648" ht="16.5" customHeight="1" s="28">
      <c r="A648" s="31" t="n">
        <v>647</v>
      </c>
      <c r="B648" s="27" t="n">
        <v>5</v>
      </c>
      <c r="C648" s="27" t="n">
        <v>16</v>
      </c>
      <c r="D648" s="27" t="n">
        <v>21</v>
      </c>
      <c r="E648" s="27" t="n">
        <v>23</v>
      </c>
      <c r="F648" s="27" t="n">
        <v>24</v>
      </c>
      <c r="G648" s="27" t="n">
        <v>30</v>
      </c>
      <c r="H648" s="27" t="n">
        <v>29</v>
      </c>
      <c r="J648" s="27">
        <f>SUMPRODUCT(COUNTIFS(확률!$J$2:$J$46, 원본!B648:G648, 확률!$M$2:$M$46, "&lt;=20"))</f>
        <v/>
      </c>
      <c r="K648" s="27">
        <f>SUMPRODUCT(COUNTIFS(확률!$J$2:$J$46, 원본!B648:G648, 확률!$M$2:$M$46, "&gt;=36"))</f>
        <v/>
      </c>
      <c r="L648" s="27">
        <f>6-J648-K648</f>
        <v/>
      </c>
    </row>
    <row r="649" ht="16.5" customHeight="1" s="28">
      <c r="A649" s="31" t="n">
        <v>648</v>
      </c>
      <c r="B649" s="27" t="n">
        <v>13</v>
      </c>
      <c r="C649" s="27" t="n">
        <v>19</v>
      </c>
      <c r="D649" s="27" t="n">
        <v>28</v>
      </c>
      <c r="E649" s="27" t="n">
        <v>37</v>
      </c>
      <c r="F649" s="27" t="n">
        <v>38</v>
      </c>
      <c r="G649" s="27" t="n">
        <v>43</v>
      </c>
      <c r="H649" s="27" t="n">
        <v>4</v>
      </c>
      <c r="J649" s="27">
        <f>SUMPRODUCT(COUNTIFS(확률!$J$2:$J$46, 원본!B649:G649, 확률!$M$2:$M$46, "&lt;=20"))</f>
        <v/>
      </c>
      <c r="K649" s="27">
        <f>SUMPRODUCT(COUNTIFS(확률!$J$2:$J$46, 원본!B649:G649, 확률!$M$2:$M$46, "&gt;=36"))</f>
        <v/>
      </c>
      <c r="L649" s="27">
        <f>6-J649-K649</f>
        <v/>
      </c>
    </row>
    <row r="650" ht="16.5" customHeight="1" s="28">
      <c r="A650" s="31" t="n">
        <v>649</v>
      </c>
      <c r="B650" s="27" t="n">
        <v>3</v>
      </c>
      <c r="C650" s="27" t="n">
        <v>21</v>
      </c>
      <c r="D650" s="27" t="n">
        <v>22</v>
      </c>
      <c r="E650" s="27" t="n">
        <v>33</v>
      </c>
      <c r="F650" s="27" t="n">
        <v>41</v>
      </c>
      <c r="G650" s="27" t="n">
        <v>42</v>
      </c>
      <c r="H650" s="27" t="n">
        <v>20</v>
      </c>
      <c r="J650" s="27">
        <f>SUMPRODUCT(COUNTIFS(확률!$J$2:$J$46, 원본!B650:G650, 확률!$M$2:$M$46, "&lt;=20"))</f>
        <v/>
      </c>
      <c r="K650" s="27">
        <f>SUMPRODUCT(COUNTIFS(확률!$J$2:$J$46, 원본!B650:G650, 확률!$M$2:$M$46, "&gt;=36"))</f>
        <v/>
      </c>
      <c r="L650" s="27">
        <f>6-J650-K650</f>
        <v/>
      </c>
    </row>
    <row r="651" ht="16.5" customHeight="1" s="28">
      <c r="A651" s="31" t="n">
        <v>650</v>
      </c>
      <c r="B651" s="27" t="n">
        <v>3</v>
      </c>
      <c r="C651" s="27" t="n">
        <v>4</v>
      </c>
      <c r="D651" s="27" t="n">
        <v>7</v>
      </c>
      <c r="E651" s="27" t="n">
        <v>11</v>
      </c>
      <c r="F651" s="27" t="n">
        <v>31</v>
      </c>
      <c r="G651" s="27" t="n">
        <v>41</v>
      </c>
      <c r="H651" s="27" t="n">
        <v>35</v>
      </c>
      <c r="J651" s="27">
        <f>SUMPRODUCT(COUNTIFS(확률!$J$2:$J$46, 원본!B651:G651, 확률!$M$2:$M$46, "&lt;=20"))</f>
        <v/>
      </c>
      <c r="K651" s="27">
        <f>SUMPRODUCT(COUNTIFS(확률!$J$2:$J$46, 원본!B651:G651, 확률!$M$2:$M$46, "&gt;=36"))</f>
        <v/>
      </c>
      <c r="L651" s="27">
        <f>6-J651-K651</f>
        <v/>
      </c>
    </row>
    <row r="652" ht="16.5" customHeight="1" s="28">
      <c r="A652" s="31" t="n">
        <v>651</v>
      </c>
      <c r="B652" s="27" t="n">
        <v>11</v>
      </c>
      <c r="C652" s="27" t="n">
        <v>12</v>
      </c>
      <c r="D652" s="27" t="n">
        <v>16</v>
      </c>
      <c r="E652" s="27" t="n">
        <v>26</v>
      </c>
      <c r="F652" s="27" t="n">
        <v>29</v>
      </c>
      <c r="G652" s="27" t="n">
        <v>44</v>
      </c>
      <c r="H652" s="27" t="n">
        <v>18</v>
      </c>
      <c r="J652" s="27">
        <f>SUMPRODUCT(COUNTIFS(확률!$J$2:$J$46, 원본!B652:G652, 확률!$M$2:$M$46, "&lt;=20"))</f>
        <v/>
      </c>
      <c r="K652" s="27">
        <f>SUMPRODUCT(COUNTIFS(확률!$J$2:$J$46, 원본!B652:G652, 확률!$M$2:$M$46, "&gt;=36"))</f>
        <v/>
      </c>
      <c r="L652" s="27">
        <f>6-J652-K652</f>
        <v/>
      </c>
    </row>
    <row r="653" ht="16.5" customHeight="1" s="28">
      <c r="A653" s="31" t="n">
        <v>652</v>
      </c>
      <c r="B653" s="27" t="n">
        <v>3</v>
      </c>
      <c r="C653" s="27" t="n">
        <v>13</v>
      </c>
      <c r="D653" s="27" t="n">
        <v>15</v>
      </c>
      <c r="E653" s="27" t="n">
        <v>40</v>
      </c>
      <c r="F653" s="27" t="n">
        <v>41</v>
      </c>
      <c r="G653" s="27" t="n">
        <v>44</v>
      </c>
      <c r="H653" s="27" t="n">
        <v>20</v>
      </c>
      <c r="J653" s="27">
        <f>SUMPRODUCT(COUNTIFS(확률!$J$2:$J$46, 원본!B653:G653, 확률!$M$2:$M$46, "&lt;=20"))</f>
        <v/>
      </c>
      <c r="K653" s="27">
        <f>SUMPRODUCT(COUNTIFS(확률!$J$2:$J$46, 원본!B653:G653, 확률!$M$2:$M$46, "&gt;=36"))</f>
        <v/>
      </c>
      <c r="L653" s="27">
        <f>6-J653-K653</f>
        <v/>
      </c>
    </row>
    <row r="654" ht="16.5" customHeight="1" s="28">
      <c r="A654" s="31" t="n">
        <v>653</v>
      </c>
      <c r="B654" s="27" t="n">
        <v>5</v>
      </c>
      <c r="C654" s="27" t="n">
        <v>6</v>
      </c>
      <c r="D654" s="27" t="n">
        <v>26</v>
      </c>
      <c r="E654" s="27" t="n">
        <v>27</v>
      </c>
      <c r="F654" s="27" t="n">
        <v>38</v>
      </c>
      <c r="G654" s="27" t="n">
        <v>39</v>
      </c>
      <c r="H654" s="27" t="n">
        <v>1</v>
      </c>
      <c r="J654" s="27">
        <f>SUMPRODUCT(COUNTIFS(확률!$J$2:$J$46, 원본!B654:G654, 확률!$M$2:$M$46, "&lt;=20"))</f>
        <v/>
      </c>
      <c r="K654" s="27">
        <f>SUMPRODUCT(COUNTIFS(확률!$J$2:$J$46, 원본!B654:G654, 확률!$M$2:$M$46, "&gt;=36"))</f>
        <v/>
      </c>
      <c r="L654" s="27">
        <f>6-J654-K654</f>
        <v/>
      </c>
    </row>
    <row r="655" ht="16.5" customHeight="1" s="28">
      <c r="A655" s="31" t="n">
        <v>654</v>
      </c>
      <c r="B655" s="27" t="n">
        <v>16</v>
      </c>
      <c r="C655" s="27" t="n">
        <v>21</v>
      </c>
      <c r="D655" s="27" t="n">
        <v>26</v>
      </c>
      <c r="E655" s="27" t="n">
        <v>31</v>
      </c>
      <c r="F655" s="27" t="n">
        <v>36</v>
      </c>
      <c r="G655" s="27" t="n">
        <v>43</v>
      </c>
      <c r="H655" s="27" t="n">
        <v>6</v>
      </c>
      <c r="J655" s="27">
        <f>SUMPRODUCT(COUNTIFS(확률!$J$2:$J$46, 원본!B655:G655, 확률!$M$2:$M$46, "&lt;=20"))</f>
        <v/>
      </c>
      <c r="K655" s="27">
        <f>SUMPRODUCT(COUNTIFS(확률!$J$2:$J$46, 원본!B655:G655, 확률!$M$2:$M$46, "&gt;=36"))</f>
        <v/>
      </c>
      <c r="L655" s="27">
        <f>6-J655-K655</f>
        <v/>
      </c>
    </row>
    <row r="656" ht="16.5" customHeight="1" s="28">
      <c r="A656" s="31" t="n">
        <v>655</v>
      </c>
      <c r="B656" s="27" t="n">
        <v>7</v>
      </c>
      <c r="C656" s="27" t="n">
        <v>37</v>
      </c>
      <c r="D656" s="27" t="n">
        <v>38</v>
      </c>
      <c r="E656" s="27" t="n">
        <v>39</v>
      </c>
      <c r="F656" s="27" t="n">
        <v>40</v>
      </c>
      <c r="G656" s="27" t="n">
        <v>44</v>
      </c>
      <c r="H656" s="27" t="n">
        <v>18</v>
      </c>
      <c r="J656" s="27">
        <f>SUMPRODUCT(COUNTIFS(확률!$J$2:$J$46, 원본!B656:G656, 확률!$M$2:$M$46, "&lt;=20"))</f>
        <v/>
      </c>
      <c r="K656" s="27">
        <f>SUMPRODUCT(COUNTIFS(확률!$J$2:$J$46, 원본!B656:G656, 확률!$M$2:$M$46, "&gt;=36"))</f>
        <v/>
      </c>
      <c r="L656" s="27">
        <f>6-J656-K656</f>
        <v/>
      </c>
    </row>
    <row r="657" ht="16.5" customHeight="1" s="28">
      <c r="A657" s="31" t="n">
        <v>656</v>
      </c>
      <c r="B657" s="27" t="n">
        <v>3</v>
      </c>
      <c r="C657" s="27" t="n">
        <v>7</v>
      </c>
      <c r="D657" s="27" t="n">
        <v>14</v>
      </c>
      <c r="E657" s="27" t="n">
        <v>16</v>
      </c>
      <c r="F657" s="27" t="n">
        <v>31</v>
      </c>
      <c r="G657" s="27" t="n">
        <v>40</v>
      </c>
      <c r="H657" s="27" t="n">
        <v>39</v>
      </c>
      <c r="J657" s="27">
        <f>SUMPRODUCT(COUNTIFS(확률!$J$2:$J$46, 원본!B657:G657, 확률!$M$2:$M$46, "&lt;=20"))</f>
        <v/>
      </c>
      <c r="K657" s="27">
        <f>SUMPRODUCT(COUNTIFS(확률!$J$2:$J$46, 원본!B657:G657, 확률!$M$2:$M$46, "&gt;=36"))</f>
        <v/>
      </c>
      <c r="L657" s="27">
        <f>6-J657-K657</f>
        <v/>
      </c>
    </row>
    <row r="658" ht="16.5" customHeight="1" s="28">
      <c r="A658" s="31" t="n">
        <v>657</v>
      </c>
      <c r="B658" s="27" t="n">
        <v>10</v>
      </c>
      <c r="C658" s="27" t="n">
        <v>14</v>
      </c>
      <c r="D658" s="27" t="n">
        <v>19</v>
      </c>
      <c r="E658" s="27" t="n">
        <v>39</v>
      </c>
      <c r="F658" s="27" t="n">
        <v>40</v>
      </c>
      <c r="G658" s="27" t="n">
        <v>43</v>
      </c>
      <c r="H658" s="27" t="n">
        <v>23</v>
      </c>
      <c r="J658" s="27">
        <f>SUMPRODUCT(COUNTIFS(확률!$J$2:$J$46, 원본!B658:G658, 확률!$M$2:$M$46, "&lt;=20"))</f>
        <v/>
      </c>
      <c r="K658" s="27">
        <f>SUMPRODUCT(COUNTIFS(확률!$J$2:$J$46, 원본!B658:G658, 확률!$M$2:$M$46, "&gt;=36"))</f>
        <v/>
      </c>
      <c r="L658" s="27">
        <f>6-J658-K658</f>
        <v/>
      </c>
    </row>
    <row r="659" ht="16.5" customHeight="1" s="28">
      <c r="A659" s="31" t="n">
        <v>658</v>
      </c>
      <c r="B659" s="27" t="n">
        <v>8</v>
      </c>
      <c r="C659" s="27" t="n">
        <v>19</v>
      </c>
      <c r="D659" s="27" t="n">
        <v>25</v>
      </c>
      <c r="E659" s="27" t="n">
        <v>28</v>
      </c>
      <c r="F659" s="27" t="n">
        <v>32</v>
      </c>
      <c r="G659" s="27" t="n">
        <v>36</v>
      </c>
      <c r="H659" s="27" t="n">
        <v>37</v>
      </c>
      <c r="J659" s="27">
        <f>SUMPRODUCT(COUNTIFS(확률!$J$2:$J$46, 원본!B659:G659, 확률!$M$2:$M$46, "&lt;=20"))</f>
        <v/>
      </c>
      <c r="K659" s="27">
        <f>SUMPRODUCT(COUNTIFS(확률!$J$2:$J$46, 원본!B659:G659, 확률!$M$2:$M$46, "&gt;=36"))</f>
        <v/>
      </c>
      <c r="L659" s="27">
        <f>6-J659-K659</f>
        <v/>
      </c>
    </row>
    <row r="660" ht="16.5" customHeight="1" s="28">
      <c r="A660" s="31" t="n">
        <v>659</v>
      </c>
      <c r="B660" s="27" t="n">
        <v>7</v>
      </c>
      <c r="C660" s="27" t="n">
        <v>18</v>
      </c>
      <c r="D660" s="27" t="n">
        <v>19</v>
      </c>
      <c r="E660" s="27" t="n">
        <v>27</v>
      </c>
      <c r="F660" s="27" t="n">
        <v>29</v>
      </c>
      <c r="G660" s="27" t="n">
        <v>42</v>
      </c>
      <c r="H660" s="27" t="n">
        <v>45</v>
      </c>
      <c r="J660" s="27">
        <f>SUMPRODUCT(COUNTIFS(확률!$J$2:$J$46, 원본!B660:G660, 확률!$M$2:$M$46, "&lt;=20"))</f>
        <v/>
      </c>
      <c r="K660" s="27">
        <f>SUMPRODUCT(COUNTIFS(확률!$J$2:$J$46, 원본!B660:G660, 확률!$M$2:$M$46, "&gt;=36"))</f>
        <v/>
      </c>
      <c r="L660" s="27">
        <f>6-J660-K660</f>
        <v/>
      </c>
    </row>
    <row r="661" ht="16.5" customHeight="1" s="28">
      <c r="A661" s="31" t="n">
        <v>660</v>
      </c>
      <c r="B661" s="27" t="n">
        <v>4</v>
      </c>
      <c r="C661" s="27" t="n">
        <v>9</v>
      </c>
      <c r="D661" s="27" t="n">
        <v>23</v>
      </c>
      <c r="E661" s="27" t="n">
        <v>33</v>
      </c>
      <c r="F661" s="27" t="n">
        <v>39</v>
      </c>
      <c r="G661" s="27" t="n">
        <v>44</v>
      </c>
      <c r="H661" s="27" t="n">
        <v>14</v>
      </c>
      <c r="J661" s="27">
        <f>SUMPRODUCT(COUNTIFS(확률!$J$2:$J$46, 원본!B661:G661, 확률!$M$2:$M$46, "&lt;=20"))</f>
        <v/>
      </c>
      <c r="K661" s="27">
        <f>SUMPRODUCT(COUNTIFS(확률!$J$2:$J$46, 원본!B661:G661, 확률!$M$2:$M$46, "&gt;=36"))</f>
        <v/>
      </c>
      <c r="L661" s="27">
        <f>6-J661-K661</f>
        <v/>
      </c>
    </row>
    <row r="662" ht="16.5" customHeight="1" s="28">
      <c r="A662" s="31" t="n">
        <v>661</v>
      </c>
      <c r="B662" s="27" t="n">
        <v>2</v>
      </c>
      <c r="C662" s="27" t="n">
        <v>3</v>
      </c>
      <c r="D662" s="27" t="n">
        <v>12</v>
      </c>
      <c r="E662" s="27" t="n">
        <v>20</v>
      </c>
      <c r="F662" s="27" t="n">
        <v>27</v>
      </c>
      <c r="G662" s="27" t="n">
        <v>38</v>
      </c>
      <c r="H662" s="27" t="n">
        <v>40</v>
      </c>
      <c r="J662" s="27">
        <f>SUMPRODUCT(COUNTIFS(확률!$J$2:$J$46, 원본!B662:G662, 확률!$M$2:$M$46, "&lt;=20"))</f>
        <v/>
      </c>
      <c r="K662" s="27">
        <f>SUMPRODUCT(COUNTIFS(확률!$J$2:$J$46, 원본!B662:G662, 확률!$M$2:$M$46, "&gt;=36"))</f>
        <v/>
      </c>
      <c r="L662" s="27">
        <f>6-J662-K662</f>
        <v/>
      </c>
    </row>
    <row r="663" ht="16.5" customHeight="1" s="28">
      <c r="A663" s="31" t="n">
        <v>662</v>
      </c>
      <c r="B663" s="27" t="n">
        <v>5</v>
      </c>
      <c r="C663" s="27" t="n">
        <v>6</v>
      </c>
      <c r="D663" s="27" t="n">
        <v>9</v>
      </c>
      <c r="E663" s="27" t="n">
        <v>11</v>
      </c>
      <c r="F663" s="27" t="n">
        <v>15</v>
      </c>
      <c r="G663" s="27" t="n">
        <v>37</v>
      </c>
      <c r="H663" s="27" t="n">
        <v>26</v>
      </c>
      <c r="J663" s="27">
        <f>SUMPRODUCT(COUNTIFS(확률!$J$2:$J$46, 원본!B663:G663, 확률!$M$2:$M$46, "&lt;=20"))</f>
        <v/>
      </c>
      <c r="K663" s="27">
        <f>SUMPRODUCT(COUNTIFS(확률!$J$2:$J$46, 원본!B663:G663, 확률!$M$2:$M$46, "&gt;=36"))</f>
        <v/>
      </c>
      <c r="L663" s="27">
        <f>6-J663-K663</f>
        <v/>
      </c>
    </row>
    <row r="664" ht="16.5" customHeight="1" s="28">
      <c r="A664" s="31" t="n">
        <v>663</v>
      </c>
      <c r="B664" s="27" t="n">
        <v>3</v>
      </c>
      <c r="C664" s="27" t="n">
        <v>5</v>
      </c>
      <c r="D664" s="27" t="n">
        <v>8</v>
      </c>
      <c r="E664" s="27" t="n">
        <v>19</v>
      </c>
      <c r="F664" s="27" t="n">
        <v>38</v>
      </c>
      <c r="G664" s="27" t="n">
        <v>42</v>
      </c>
      <c r="H664" s="27" t="n">
        <v>20</v>
      </c>
      <c r="J664" s="27">
        <f>SUMPRODUCT(COUNTIFS(확률!$J$2:$J$46, 원본!B664:G664, 확률!$M$2:$M$46, "&lt;=20"))</f>
        <v/>
      </c>
      <c r="K664" s="27">
        <f>SUMPRODUCT(COUNTIFS(확률!$J$2:$J$46, 원본!B664:G664, 확률!$M$2:$M$46, "&gt;=36"))</f>
        <v/>
      </c>
      <c r="L664" s="27">
        <f>6-J664-K664</f>
        <v/>
      </c>
    </row>
    <row r="665" ht="16.5" customHeight="1" s="28">
      <c r="A665" s="31" t="n">
        <v>664</v>
      </c>
      <c r="B665" s="27" t="n">
        <v>10</v>
      </c>
      <c r="C665" s="27" t="n">
        <v>20</v>
      </c>
      <c r="D665" s="27" t="n">
        <v>33</v>
      </c>
      <c r="E665" s="27" t="n">
        <v>36</v>
      </c>
      <c r="F665" s="27" t="n">
        <v>41</v>
      </c>
      <c r="G665" s="27" t="n">
        <v>44</v>
      </c>
      <c r="H665" s="27" t="n">
        <v>5</v>
      </c>
      <c r="J665" s="27">
        <f>SUMPRODUCT(COUNTIFS(확률!$J$2:$J$46, 원본!B665:G665, 확률!$M$2:$M$46, "&lt;=20"))</f>
        <v/>
      </c>
      <c r="K665" s="27">
        <f>SUMPRODUCT(COUNTIFS(확률!$J$2:$J$46, 원본!B665:G665, 확률!$M$2:$M$46, "&gt;=36"))</f>
        <v/>
      </c>
      <c r="L665" s="27">
        <f>6-J665-K665</f>
        <v/>
      </c>
    </row>
    <row r="666" ht="16.5" customHeight="1" s="28">
      <c r="A666" s="31" t="n">
        <v>665</v>
      </c>
      <c r="B666" s="27" t="n">
        <v>5</v>
      </c>
      <c r="C666" s="27" t="n">
        <v>6</v>
      </c>
      <c r="D666" s="27" t="n">
        <v>11</v>
      </c>
      <c r="E666" s="27" t="n">
        <v>17</v>
      </c>
      <c r="F666" s="27" t="n">
        <v>38</v>
      </c>
      <c r="G666" s="27" t="n">
        <v>44</v>
      </c>
      <c r="H666" s="27" t="n">
        <v>13</v>
      </c>
      <c r="J666" s="27">
        <f>SUMPRODUCT(COUNTIFS(확률!$J$2:$J$46, 원본!B666:G666, 확률!$M$2:$M$46, "&lt;=20"))</f>
        <v/>
      </c>
      <c r="K666" s="27">
        <f>SUMPRODUCT(COUNTIFS(확률!$J$2:$J$46, 원본!B666:G666, 확률!$M$2:$M$46, "&gt;=36"))</f>
        <v/>
      </c>
      <c r="L666" s="27">
        <f>6-J666-K666</f>
        <v/>
      </c>
    </row>
    <row r="667" ht="16.5" customHeight="1" s="28">
      <c r="A667" s="31" t="n">
        <v>666</v>
      </c>
      <c r="B667" s="27" t="n">
        <v>2</v>
      </c>
      <c r="C667" s="27" t="n">
        <v>4</v>
      </c>
      <c r="D667" s="27" t="n">
        <v>6</v>
      </c>
      <c r="E667" s="27" t="n">
        <v>11</v>
      </c>
      <c r="F667" s="27" t="n">
        <v>17</v>
      </c>
      <c r="G667" s="27" t="n">
        <v>28</v>
      </c>
      <c r="H667" s="27" t="n">
        <v>16</v>
      </c>
      <c r="J667" s="27">
        <f>SUMPRODUCT(COUNTIFS(확률!$J$2:$J$46, 원본!B667:G667, 확률!$M$2:$M$46, "&lt;=20"))</f>
        <v/>
      </c>
      <c r="K667" s="27">
        <f>SUMPRODUCT(COUNTIFS(확률!$J$2:$J$46, 원본!B667:G667, 확률!$M$2:$M$46, "&gt;=36"))</f>
        <v/>
      </c>
      <c r="L667" s="27">
        <f>6-J667-K667</f>
        <v/>
      </c>
    </row>
    <row r="668" ht="16.5" customHeight="1" s="28">
      <c r="A668" s="31" t="n">
        <v>667</v>
      </c>
      <c r="B668" s="27" t="n">
        <v>15</v>
      </c>
      <c r="C668" s="27" t="n">
        <v>17</v>
      </c>
      <c r="D668" s="27" t="n">
        <v>25</v>
      </c>
      <c r="E668" s="27" t="n">
        <v>37</v>
      </c>
      <c r="F668" s="27" t="n">
        <v>42</v>
      </c>
      <c r="G668" s="27" t="n">
        <v>43</v>
      </c>
      <c r="H668" s="27" t="n">
        <v>13</v>
      </c>
      <c r="J668" s="27">
        <f>SUMPRODUCT(COUNTIFS(확률!$J$2:$J$46, 원본!B668:G668, 확률!$M$2:$M$46, "&lt;=20"))</f>
        <v/>
      </c>
      <c r="K668" s="27">
        <f>SUMPRODUCT(COUNTIFS(확률!$J$2:$J$46, 원본!B668:G668, 확률!$M$2:$M$46, "&gt;=36"))</f>
        <v/>
      </c>
      <c r="L668" s="27">
        <f>6-J668-K668</f>
        <v/>
      </c>
    </row>
    <row r="669" ht="16.5" customHeight="1" s="28">
      <c r="A669" s="31" t="n">
        <v>668</v>
      </c>
      <c r="B669" s="27" t="n">
        <v>12</v>
      </c>
      <c r="C669" s="27" t="n">
        <v>14</v>
      </c>
      <c r="D669" s="27" t="n">
        <v>15</v>
      </c>
      <c r="E669" s="27" t="n">
        <v>24</v>
      </c>
      <c r="F669" s="27" t="n">
        <v>27</v>
      </c>
      <c r="G669" s="27" t="n">
        <v>32</v>
      </c>
      <c r="H669" s="27" t="n">
        <v>3</v>
      </c>
      <c r="J669" s="27">
        <f>SUMPRODUCT(COUNTIFS(확률!$J$2:$J$46, 원본!B669:G669, 확률!$M$2:$M$46, "&lt;=20"))</f>
        <v/>
      </c>
      <c r="K669" s="27">
        <f>SUMPRODUCT(COUNTIFS(확률!$J$2:$J$46, 원본!B669:G669, 확률!$M$2:$M$46, "&gt;=36"))</f>
        <v/>
      </c>
      <c r="L669" s="27">
        <f>6-J669-K669</f>
        <v/>
      </c>
    </row>
    <row r="670" ht="16.5" customHeight="1" s="28">
      <c r="A670" s="31" t="n">
        <v>669</v>
      </c>
      <c r="B670" s="27" t="n">
        <v>7</v>
      </c>
      <c r="C670" s="27" t="n">
        <v>8</v>
      </c>
      <c r="D670" s="27" t="n">
        <v>20</v>
      </c>
      <c r="E670" s="27" t="n">
        <v>29</v>
      </c>
      <c r="F670" s="27" t="n">
        <v>33</v>
      </c>
      <c r="G670" s="27" t="n">
        <v>38</v>
      </c>
      <c r="H670" s="27" t="n">
        <v>9</v>
      </c>
      <c r="J670" s="27">
        <f>SUMPRODUCT(COUNTIFS(확률!$J$2:$J$46, 원본!B670:G670, 확률!$M$2:$M$46, "&lt;=20"))</f>
        <v/>
      </c>
      <c r="K670" s="27">
        <f>SUMPRODUCT(COUNTIFS(확률!$J$2:$J$46, 원본!B670:G670, 확률!$M$2:$M$46, "&gt;=36"))</f>
        <v/>
      </c>
      <c r="L670" s="27">
        <f>6-J670-K670</f>
        <v/>
      </c>
    </row>
    <row r="671" ht="16.5" customHeight="1" s="28">
      <c r="A671" s="31" t="n">
        <v>670</v>
      </c>
      <c r="B671" s="27" t="n">
        <v>11</v>
      </c>
      <c r="C671" s="27" t="n">
        <v>18</v>
      </c>
      <c r="D671" s="27" t="n">
        <v>26</v>
      </c>
      <c r="E671" s="27" t="n">
        <v>27</v>
      </c>
      <c r="F671" s="27" t="n">
        <v>40</v>
      </c>
      <c r="G671" s="27" t="n">
        <v>41</v>
      </c>
      <c r="H671" s="27" t="n">
        <v>25</v>
      </c>
      <c r="J671" s="27">
        <f>SUMPRODUCT(COUNTIFS(확률!$J$2:$J$46, 원본!B671:G671, 확률!$M$2:$M$46, "&lt;=20"))</f>
        <v/>
      </c>
      <c r="K671" s="27">
        <f>SUMPRODUCT(COUNTIFS(확률!$J$2:$J$46, 원본!B671:G671, 확률!$M$2:$M$46, "&gt;=36"))</f>
        <v/>
      </c>
      <c r="L671" s="27">
        <f>6-J671-K671</f>
        <v/>
      </c>
    </row>
    <row r="672" ht="16.5" customHeight="1" s="28">
      <c r="A672" s="31" t="n">
        <v>671</v>
      </c>
      <c r="B672" s="27" t="n">
        <v>7</v>
      </c>
      <c r="C672" s="27" t="n">
        <v>9</v>
      </c>
      <c r="D672" s="27" t="n">
        <v>10</v>
      </c>
      <c r="E672" s="27" t="n">
        <v>13</v>
      </c>
      <c r="F672" s="27" t="n">
        <v>31</v>
      </c>
      <c r="G672" s="27" t="n">
        <v>35</v>
      </c>
      <c r="H672" s="27" t="n">
        <v>24</v>
      </c>
      <c r="J672" s="27">
        <f>SUMPRODUCT(COUNTIFS(확률!$J$2:$J$46, 원본!B672:G672, 확률!$M$2:$M$46, "&lt;=20"))</f>
        <v/>
      </c>
      <c r="K672" s="27">
        <f>SUMPRODUCT(COUNTIFS(확률!$J$2:$J$46, 원본!B672:G672, 확률!$M$2:$M$46, "&gt;=36"))</f>
        <v/>
      </c>
      <c r="L672" s="27">
        <f>6-J672-K672</f>
        <v/>
      </c>
    </row>
    <row r="673" ht="16.5" customHeight="1" s="28">
      <c r="A673" s="31" t="n">
        <v>672</v>
      </c>
      <c r="B673" s="27" t="n">
        <v>8</v>
      </c>
      <c r="C673" s="27" t="n">
        <v>21</v>
      </c>
      <c r="D673" s="27" t="n">
        <v>28</v>
      </c>
      <c r="E673" s="27" t="n">
        <v>31</v>
      </c>
      <c r="F673" s="27" t="n">
        <v>36</v>
      </c>
      <c r="G673" s="27" t="n">
        <v>45</v>
      </c>
      <c r="H673" s="27" t="n">
        <v>43</v>
      </c>
      <c r="J673" s="27">
        <f>SUMPRODUCT(COUNTIFS(확률!$J$2:$J$46, 원본!B673:G673, 확률!$M$2:$M$46, "&lt;=20"))</f>
        <v/>
      </c>
      <c r="K673" s="27">
        <f>SUMPRODUCT(COUNTIFS(확률!$J$2:$J$46, 원본!B673:G673, 확률!$M$2:$M$46, "&gt;=36"))</f>
        <v/>
      </c>
      <c r="L673" s="27">
        <f>6-J673-K673</f>
        <v/>
      </c>
    </row>
    <row r="674" ht="16.5" customHeight="1" s="28">
      <c r="A674" s="31" t="n">
        <v>673</v>
      </c>
      <c r="B674" s="27" t="n">
        <v>7</v>
      </c>
      <c r="C674" s="27" t="n">
        <v>10</v>
      </c>
      <c r="D674" s="27" t="n">
        <v>17</v>
      </c>
      <c r="E674" s="27" t="n">
        <v>29</v>
      </c>
      <c r="F674" s="27" t="n">
        <v>33</v>
      </c>
      <c r="G674" s="27" t="n">
        <v>44</v>
      </c>
      <c r="H674" s="27" t="n">
        <v>5</v>
      </c>
      <c r="J674" s="27">
        <f>SUMPRODUCT(COUNTIFS(확률!$J$2:$J$46, 원본!B674:G674, 확률!$M$2:$M$46, "&lt;=20"))</f>
        <v/>
      </c>
      <c r="K674" s="27">
        <f>SUMPRODUCT(COUNTIFS(확률!$J$2:$J$46, 원본!B674:G674, 확률!$M$2:$M$46, "&gt;=36"))</f>
        <v/>
      </c>
      <c r="L674" s="27">
        <f>6-J674-K674</f>
        <v/>
      </c>
    </row>
    <row r="675" ht="16.5" customHeight="1" s="28">
      <c r="A675" s="31" t="n">
        <v>674</v>
      </c>
      <c r="B675" s="27" t="n">
        <v>9</v>
      </c>
      <c r="C675" s="27" t="n">
        <v>10</v>
      </c>
      <c r="D675" s="27" t="n">
        <v>14</v>
      </c>
      <c r="E675" s="27" t="n">
        <v>25</v>
      </c>
      <c r="F675" s="27" t="n">
        <v>27</v>
      </c>
      <c r="G675" s="27" t="n">
        <v>31</v>
      </c>
      <c r="H675" s="27" t="n">
        <v>11</v>
      </c>
      <c r="J675" s="27">
        <f>SUMPRODUCT(COUNTIFS(확률!$J$2:$J$46, 원본!B675:G675, 확률!$M$2:$M$46, "&lt;=20"))</f>
        <v/>
      </c>
      <c r="K675" s="27">
        <f>SUMPRODUCT(COUNTIFS(확률!$J$2:$J$46, 원본!B675:G675, 확률!$M$2:$M$46, "&gt;=36"))</f>
        <v/>
      </c>
      <c r="L675" s="27">
        <f>6-J675-K675</f>
        <v/>
      </c>
    </row>
    <row r="676" ht="16.5" customHeight="1" s="28">
      <c r="A676" s="31" t="n">
        <v>675</v>
      </c>
      <c r="B676" s="27" t="n">
        <v>1</v>
      </c>
      <c r="C676" s="27" t="n">
        <v>8</v>
      </c>
      <c r="D676" s="27" t="n">
        <v>11</v>
      </c>
      <c r="E676" s="27" t="n">
        <v>15</v>
      </c>
      <c r="F676" s="27" t="n">
        <v>18</v>
      </c>
      <c r="G676" s="27" t="n">
        <v>45</v>
      </c>
      <c r="H676" s="27" t="n">
        <v>7</v>
      </c>
      <c r="J676" s="27">
        <f>SUMPRODUCT(COUNTIFS(확률!$J$2:$J$46, 원본!B676:G676, 확률!$M$2:$M$46, "&lt;=20"))</f>
        <v/>
      </c>
      <c r="K676" s="27">
        <f>SUMPRODUCT(COUNTIFS(확률!$J$2:$J$46, 원본!B676:G676, 확률!$M$2:$M$46, "&gt;=36"))</f>
        <v/>
      </c>
      <c r="L676" s="27">
        <f>6-J676-K676</f>
        <v/>
      </c>
    </row>
    <row r="677" ht="16.5" customHeight="1" s="28">
      <c r="A677" s="31" t="n">
        <v>676</v>
      </c>
      <c r="B677" s="27" t="n">
        <v>1</v>
      </c>
      <c r="C677" s="27" t="n">
        <v>8</v>
      </c>
      <c r="D677" s="27" t="n">
        <v>17</v>
      </c>
      <c r="E677" s="27" t="n">
        <v>34</v>
      </c>
      <c r="F677" s="27" t="n">
        <v>39</v>
      </c>
      <c r="G677" s="27" t="n">
        <v>45</v>
      </c>
      <c r="H677" s="27" t="n">
        <v>27</v>
      </c>
      <c r="J677" s="27">
        <f>SUMPRODUCT(COUNTIFS(확률!$J$2:$J$46, 원본!B677:G677, 확률!$M$2:$M$46, "&lt;=20"))</f>
        <v/>
      </c>
      <c r="K677" s="27">
        <f>SUMPRODUCT(COUNTIFS(확률!$J$2:$J$46, 원본!B677:G677, 확률!$M$2:$M$46, "&gt;=36"))</f>
        <v/>
      </c>
      <c r="L677" s="27">
        <f>6-J677-K677</f>
        <v/>
      </c>
    </row>
    <row r="678" ht="16.5" customHeight="1" s="28">
      <c r="A678" s="31" t="n">
        <v>677</v>
      </c>
      <c r="B678" s="27" t="n">
        <v>12</v>
      </c>
      <c r="C678" s="27" t="n">
        <v>15</v>
      </c>
      <c r="D678" s="27" t="n">
        <v>24</v>
      </c>
      <c r="E678" s="27" t="n">
        <v>36</v>
      </c>
      <c r="F678" s="27" t="n">
        <v>41</v>
      </c>
      <c r="G678" s="27" t="n">
        <v>44</v>
      </c>
      <c r="H678" s="27" t="n">
        <v>42</v>
      </c>
      <c r="J678" s="27">
        <f>SUMPRODUCT(COUNTIFS(확률!$J$2:$J$46, 원본!B678:G678, 확률!$M$2:$M$46, "&lt;=20"))</f>
        <v/>
      </c>
      <c r="K678" s="27">
        <f>SUMPRODUCT(COUNTIFS(확률!$J$2:$J$46, 원본!B678:G678, 확률!$M$2:$M$46, "&gt;=36"))</f>
        <v/>
      </c>
      <c r="L678" s="27">
        <f>6-J678-K678</f>
        <v/>
      </c>
    </row>
    <row r="679" ht="16.5" customHeight="1" s="28">
      <c r="A679" s="31" t="n">
        <v>678</v>
      </c>
      <c r="B679" s="27" t="n">
        <v>4</v>
      </c>
      <c r="C679" s="27" t="n">
        <v>5</v>
      </c>
      <c r="D679" s="27" t="n">
        <v>6</v>
      </c>
      <c r="E679" s="27" t="n">
        <v>12</v>
      </c>
      <c r="F679" s="27" t="n">
        <v>25</v>
      </c>
      <c r="G679" s="27" t="n">
        <v>37</v>
      </c>
      <c r="H679" s="27" t="n">
        <v>45</v>
      </c>
      <c r="J679" s="27">
        <f>SUMPRODUCT(COUNTIFS(확률!$J$2:$J$46, 원본!B679:G679, 확률!$M$2:$M$46, "&lt;=20"))</f>
        <v/>
      </c>
      <c r="K679" s="27">
        <f>SUMPRODUCT(COUNTIFS(확률!$J$2:$J$46, 원본!B679:G679, 확률!$M$2:$M$46, "&gt;=36"))</f>
        <v/>
      </c>
      <c r="L679" s="27">
        <f>6-J679-K679</f>
        <v/>
      </c>
    </row>
    <row r="680" ht="16.5" customHeight="1" s="28">
      <c r="A680" s="31" t="n">
        <v>679</v>
      </c>
      <c r="B680" s="27" t="n">
        <v>3</v>
      </c>
      <c r="C680" s="27" t="n">
        <v>5</v>
      </c>
      <c r="D680" s="27" t="n">
        <v>7</v>
      </c>
      <c r="E680" s="27" t="n">
        <v>14</v>
      </c>
      <c r="F680" s="27" t="n">
        <v>26</v>
      </c>
      <c r="G680" s="27" t="n">
        <v>34</v>
      </c>
      <c r="H680" s="27" t="n">
        <v>35</v>
      </c>
      <c r="J680" s="27">
        <f>SUMPRODUCT(COUNTIFS(확률!$J$2:$J$46, 원본!B680:G680, 확률!$M$2:$M$46, "&lt;=20"))</f>
        <v/>
      </c>
      <c r="K680" s="27">
        <f>SUMPRODUCT(COUNTIFS(확률!$J$2:$J$46, 원본!B680:G680, 확률!$M$2:$M$46, "&gt;=36"))</f>
        <v/>
      </c>
      <c r="L680" s="27">
        <f>6-J680-K680</f>
        <v/>
      </c>
    </row>
    <row r="681" ht="16.5" customHeight="1" s="28">
      <c r="A681" s="31" t="n">
        <v>680</v>
      </c>
      <c r="B681" s="27" t="n">
        <v>4</v>
      </c>
      <c r="C681" s="27" t="n">
        <v>10</v>
      </c>
      <c r="D681" s="27" t="n">
        <v>19</v>
      </c>
      <c r="E681" s="27" t="n">
        <v>29</v>
      </c>
      <c r="F681" s="27" t="n">
        <v>32</v>
      </c>
      <c r="G681" s="27" t="n">
        <v>42</v>
      </c>
      <c r="H681" s="27" t="n">
        <v>30</v>
      </c>
      <c r="J681" s="27">
        <f>SUMPRODUCT(COUNTIFS(확률!$J$2:$J$46, 원본!B681:G681, 확률!$M$2:$M$46, "&lt;=20"))</f>
        <v/>
      </c>
      <c r="K681" s="27">
        <f>SUMPRODUCT(COUNTIFS(확률!$J$2:$J$46, 원본!B681:G681, 확률!$M$2:$M$46, "&gt;=36"))</f>
        <v/>
      </c>
      <c r="L681" s="27">
        <f>6-J681-K681</f>
        <v/>
      </c>
    </row>
    <row r="682" ht="16.5" customHeight="1" s="28">
      <c r="A682" s="31" t="n">
        <v>681</v>
      </c>
      <c r="B682" s="27" t="n">
        <v>21</v>
      </c>
      <c r="C682" s="27" t="n">
        <v>24</v>
      </c>
      <c r="D682" s="27" t="n">
        <v>27</v>
      </c>
      <c r="E682" s="27" t="n">
        <v>29</v>
      </c>
      <c r="F682" s="27" t="n">
        <v>43</v>
      </c>
      <c r="G682" s="27" t="n">
        <v>44</v>
      </c>
      <c r="H682" s="27" t="n">
        <v>7</v>
      </c>
      <c r="J682" s="27">
        <f>SUMPRODUCT(COUNTIFS(확률!$J$2:$J$46, 원본!B682:G682, 확률!$M$2:$M$46, "&lt;=20"))</f>
        <v/>
      </c>
      <c r="K682" s="27">
        <f>SUMPRODUCT(COUNTIFS(확률!$J$2:$J$46, 원본!B682:G682, 확률!$M$2:$M$46, "&gt;=36"))</f>
        <v/>
      </c>
      <c r="L682" s="27">
        <f>6-J682-K682</f>
        <v/>
      </c>
    </row>
    <row r="683" ht="16.5" customHeight="1" s="28">
      <c r="A683" s="31" t="n">
        <v>682</v>
      </c>
      <c r="B683" s="27" t="n">
        <v>17</v>
      </c>
      <c r="C683" s="27" t="n">
        <v>23</v>
      </c>
      <c r="D683" s="27" t="n">
        <v>27</v>
      </c>
      <c r="E683" s="27" t="n">
        <v>35</v>
      </c>
      <c r="F683" s="27" t="n">
        <v>38</v>
      </c>
      <c r="G683" s="27" t="n">
        <v>43</v>
      </c>
      <c r="H683" s="27" t="n">
        <v>2</v>
      </c>
      <c r="J683" s="27">
        <f>SUMPRODUCT(COUNTIFS(확률!$J$2:$J$46, 원본!B683:G683, 확률!$M$2:$M$46, "&lt;=20"))</f>
        <v/>
      </c>
      <c r="K683" s="27">
        <f>SUMPRODUCT(COUNTIFS(확률!$J$2:$J$46, 원본!B683:G683, 확률!$M$2:$M$46, "&gt;=36"))</f>
        <v/>
      </c>
      <c r="L683" s="27">
        <f>6-J683-K683</f>
        <v/>
      </c>
    </row>
    <row r="684" ht="16.5" customHeight="1" s="28">
      <c r="A684" s="31" t="n">
        <v>683</v>
      </c>
      <c r="B684" s="27" t="n">
        <v>6</v>
      </c>
      <c r="C684" s="27" t="n">
        <v>13</v>
      </c>
      <c r="D684" s="27" t="n">
        <v>20</v>
      </c>
      <c r="E684" s="27" t="n">
        <v>27</v>
      </c>
      <c r="F684" s="27" t="n">
        <v>28</v>
      </c>
      <c r="G684" s="27" t="n">
        <v>40</v>
      </c>
      <c r="H684" s="27" t="n">
        <v>15</v>
      </c>
      <c r="J684" s="27">
        <f>SUMPRODUCT(COUNTIFS(확률!$J$2:$J$46, 원본!B684:G684, 확률!$M$2:$M$46, "&lt;=20"))</f>
        <v/>
      </c>
      <c r="K684" s="27">
        <f>SUMPRODUCT(COUNTIFS(확률!$J$2:$J$46, 원본!B684:G684, 확률!$M$2:$M$46, "&gt;=36"))</f>
        <v/>
      </c>
      <c r="L684" s="27">
        <f>6-J684-K684</f>
        <v/>
      </c>
    </row>
    <row r="685" ht="16.5" customHeight="1" s="28">
      <c r="A685" s="31" t="n">
        <v>684</v>
      </c>
      <c r="B685" s="27" t="n">
        <v>1</v>
      </c>
      <c r="C685" s="27" t="n">
        <v>11</v>
      </c>
      <c r="D685" s="27" t="n">
        <v>15</v>
      </c>
      <c r="E685" s="27" t="n">
        <v>17</v>
      </c>
      <c r="F685" s="27" t="n">
        <v>25</v>
      </c>
      <c r="G685" s="27" t="n">
        <v>39</v>
      </c>
      <c r="H685" s="27" t="n">
        <v>40</v>
      </c>
      <c r="J685" s="27">
        <f>SUMPRODUCT(COUNTIFS(확률!$J$2:$J$46, 원본!B685:G685, 확률!$M$2:$M$46, "&lt;=20"))</f>
        <v/>
      </c>
      <c r="K685" s="27">
        <f>SUMPRODUCT(COUNTIFS(확률!$J$2:$J$46, 원본!B685:G685, 확률!$M$2:$M$46, "&gt;=36"))</f>
        <v/>
      </c>
      <c r="L685" s="27">
        <f>6-J685-K685</f>
        <v/>
      </c>
    </row>
    <row r="686" ht="16.5" customHeight="1" s="28">
      <c r="A686" s="31" t="n">
        <v>685</v>
      </c>
      <c r="B686" s="27" t="n">
        <v>6</v>
      </c>
      <c r="C686" s="27" t="n">
        <v>7</v>
      </c>
      <c r="D686" s="27" t="n">
        <v>12</v>
      </c>
      <c r="E686" s="27" t="n">
        <v>28</v>
      </c>
      <c r="F686" s="27" t="n">
        <v>38</v>
      </c>
      <c r="G686" s="27" t="n">
        <v>40</v>
      </c>
      <c r="H686" s="27" t="n">
        <v>18</v>
      </c>
      <c r="J686" s="27">
        <f>SUMPRODUCT(COUNTIFS(확률!$J$2:$J$46, 원본!B686:G686, 확률!$M$2:$M$46, "&lt;=20"))</f>
        <v/>
      </c>
      <c r="K686" s="27">
        <f>SUMPRODUCT(COUNTIFS(확률!$J$2:$J$46, 원본!B686:G686, 확률!$M$2:$M$46, "&gt;=36"))</f>
        <v/>
      </c>
      <c r="L686" s="27">
        <f>6-J686-K686</f>
        <v/>
      </c>
    </row>
    <row r="687" ht="16.5" customHeight="1" s="28">
      <c r="A687" s="31" t="n">
        <v>686</v>
      </c>
      <c r="B687" s="27" t="n">
        <v>7</v>
      </c>
      <c r="C687" s="27" t="n">
        <v>12</v>
      </c>
      <c r="D687" s="27" t="n">
        <v>15</v>
      </c>
      <c r="E687" s="27" t="n">
        <v>24</v>
      </c>
      <c r="F687" s="27" t="n">
        <v>25</v>
      </c>
      <c r="G687" s="27" t="n">
        <v>43</v>
      </c>
      <c r="H687" s="27" t="n">
        <v>13</v>
      </c>
      <c r="J687" s="27">
        <f>SUMPRODUCT(COUNTIFS(확률!$J$2:$J$46, 원본!B687:G687, 확률!$M$2:$M$46, "&lt;=20"))</f>
        <v/>
      </c>
      <c r="K687" s="27">
        <f>SUMPRODUCT(COUNTIFS(확률!$J$2:$J$46, 원본!B687:G687, 확률!$M$2:$M$46, "&gt;=36"))</f>
        <v/>
      </c>
      <c r="L687" s="27">
        <f>6-J687-K687</f>
        <v/>
      </c>
    </row>
    <row r="688" ht="16.5" customHeight="1" s="28">
      <c r="A688" s="31" t="n">
        <v>687</v>
      </c>
      <c r="B688" s="27" t="n">
        <v>1</v>
      </c>
      <c r="C688" s="27" t="n">
        <v>8</v>
      </c>
      <c r="D688" s="27" t="n">
        <v>10</v>
      </c>
      <c r="E688" s="27" t="n">
        <v>13</v>
      </c>
      <c r="F688" s="27" t="n">
        <v>28</v>
      </c>
      <c r="G688" s="27" t="n">
        <v>42</v>
      </c>
      <c r="H688" s="27" t="n">
        <v>45</v>
      </c>
      <c r="J688" s="27">
        <f>SUMPRODUCT(COUNTIFS(확률!$J$2:$J$46, 원본!B688:G688, 확률!$M$2:$M$46, "&lt;=20"))</f>
        <v/>
      </c>
      <c r="K688" s="27">
        <f>SUMPRODUCT(COUNTIFS(확률!$J$2:$J$46, 원본!B688:G688, 확률!$M$2:$M$46, "&gt;=36"))</f>
        <v/>
      </c>
      <c r="L688" s="27">
        <f>6-J688-K688</f>
        <v/>
      </c>
    </row>
    <row r="689" ht="16.5" customHeight="1" s="28">
      <c r="A689" s="31" t="n">
        <v>688</v>
      </c>
      <c r="B689" s="27" t="n">
        <v>5</v>
      </c>
      <c r="C689" s="27" t="n">
        <v>15</v>
      </c>
      <c r="D689" s="27" t="n">
        <v>22</v>
      </c>
      <c r="E689" s="27" t="n">
        <v>23</v>
      </c>
      <c r="F689" s="27" t="n">
        <v>34</v>
      </c>
      <c r="G689" s="27" t="n">
        <v>35</v>
      </c>
      <c r="H689" s="27" t="n">
        <v>2</v>
      </c>
      <c r="J689" s="27">
        <f>SUMPRODUCT(COUNTIFS(확률!$J$2:$J$46, 원본!B689:G689, 확률!$M$2:$M$46, "&lt;=20"))</f>
        <v/>
      </c>
      <c r="K689" s="27">
        <f>SUMPRODUCT(COUNTIFS(확률!$J$2:$J$46, 원본!B689:G689, 확률!$M$2:$M$46, "&gt;=36"))</f>
        <v/>
      </c>
      <c r="L689" s="27">
        <f>6-J689-K689</f>
        <v/>
      </c>
    </row>
    <row r="690" ht="16.5" customHeight="1" s="28">
      <c r="A690" s="31" t="n">
        <v>689</v>
      </c>
      <c r="B690" s="27" t="n">
        <v>7</v>
      </c>
      <c r="C690" s="27" t="n">
        <v>17</v>
      </c>
      <c r="D690" s="27" t="n">
        <v>19</v>
      </c>
      <c r="E690" s="27" t="n">
        <v>30</v>
      </c>
      <c r="F690" s="27" t="n">
        <v>36</v>
      </c>
      <c r="G690" s="27" t="n">
        <v>38</v>
      </c>
      <c r="H690" s="27" t="n">
        <v>34</v>
      </c>
      <c r="J690" s="27">
        <f>SUMPRODUCT(COUNTIFS(확률!$J$2:$J$46, 원본!B690:G690, 확률!$M$2:$M$46, "&lt;=20"))</f>
        <v/>
      </c>
      <c r="K690" s="27">
        <f>SUMPRODUCT(COUNTIFS(확률!$J$2:$J$46, 원본!B690:G690, 확률!$M$2:$M$46, "&gt;=36"))</f>
        <v/>
      </c>
      <c r="L690" s="27">
        <f>6-J690-K690</f>
        <v/>
      </c>
    </row>
    <row r="691" ht="16.5" customHeight="1" s="28">
      <c r="A691" s="31" t="n">
        <v>690</v>
      </c>
      <c r="B691" s="27" t="n">
        <v>24</v>
      </c>
      <c r="C691" s="27" t="n">
        <v>25</v>
      </c>
      <c r="D691" s="27" t="n">
        <v>33</v>
      </c>
      <c r="E691" s="27" t="n">
        <v>34</v>
      </c>
      <c r="F691" s="27" t="n">
        <v>38</v>
      </c>
      <c r="G691" s="27" t="n">
        <v>39</v>
      </c>
      <c r="H691" s="27" t="n">
        <v>43</v>
      </c>
      <c r="J691" s="27">
        <f>SUMPRODUCT(COUNTIFS(확률!$J$2:$J$46, 원본!B691:G691, 확률!$M$2:$M$46, "&lt;=20"))</f>
        <v/>
      </c>
      <c r="K691" s="27">
        <f>SUMPRODUCT(COUNTIFS(확률!$J$2:$J$46, 원본!B691:G691, 확률!$M$2:$M$46, "&gt;=36"))</f>
        <v/>
      </c>
      <c r="L691" s="27">
        <f>6-J691-K691</f>
        <v/>
      </c>
    </row>
    <row r="692" ht="16.5" customHeight="1" s="28">
      <c r="A692" s="31" t="n">
        <v>691</v>
      </c>
      <c r="B692" s="27" t="n">
        <v>15</v>
      </c>
      <c r="C692" s="27" t="n">
        <v>27</v>
      </c>
      <c r="D692" s="27" t="n">
        <v>33</v>
      </c>
      <c r="E692" s="27" t="n">
        <v>35</v>
      </c>
      <c r="F692" s="27" t="n">
        <v>43</v>
      </c>
      <c r="G692" s="27" t="n">
        <v>45</v>
      </c>
      <c r="H692" s="27" t="n">
        <v>16</v>
      </c>
      <c r="J692" s="27">
        <f>SUMPRODUCT(COUNTIFS(확률!$J$2:$J$46, 원본!B692:G692, 확률!$M$2:$M$46, "&lt;=20"))</f>
        <v/>
      </c>
      <c r="K692" s="27">
        <f>SUMPRODUCT(COUNTIFS(확률!$J$2:$J$46, 원본!B692:G692, 확률!$M$2:$M$46, "&gt;=36"))</f>
        <v/>
      </c>
      <c r="L692" s="27">
        <f>6-J692-K692</f>
        <v/>
      </c>
    </row>
    <row r="693" ht="16.5" customHeight="1" s="28">
      <c r="A693" s="31" t="n">
        <v>692</v>
      </c>
      <c r="B693" s="27" t="n">
        <v>3</v>
      </c>
      <c r="C693" s="27" t="n">
        <v>11</v>
      </c>
      <c r="D693" s="27" t="n">
        <v>14</v>
      </c>
      <c r="E693" s="27" t="n">
        <v>15</v>
      </c>
      <c r="F693" s="27" t="n">
        <v>32</v>
      </c>
      <c r="G693" s="27" t="n">
        <v>36</v>
      </c>
      <c r="H693" s="27" t="n">
        <v>44</v>
      </c>
      <c r="J693" s="27">
        <f>SUMPRODUCT(COUNTIFS(확률!$J$2:$J$46, 원본!B693:G693, 확률!$M$2:$M$46, "&lt;=20"))</f>
        <v/>
      </c>
      <c r="K693" s="27">
        <f>SUMPRODUCT(COUNTIFS(확률!$J$2:$J$46, 원본!B693:G693, 확률!$M$2:$M$46, "&gt;=36"))</f>
        <v/>
      </c>
      <c r="L693" s="27">
        <f>6-J693-K693</f>
        <v/>
      </c>
    </row>
    <row r="694" ht="16.5" customHeight="1" s="28">
      <c r="A694" s="31" t="n">
        <v>693</v>
      </c>
      <c r="B694" s="27" t="n">
        <v>1</v>
      </c>
      <c r="C694" s="27" t="n">
        <v>6</v>
      </c>
      <c r="D694" s="27" t="n">
        <v>11</v>
      </c>
      <c r="E694" s="27" t="n">
        <v>28</v>
      </c>
      <c r="F694" s="27" t="n">
        <v>34</v>
      </c>
      <c r="G694" s="27" t="n">
        <v>42</v>
      </c>
      <c r="H694" s="27" t="n">
        <v>30</v>
      </c>
      <c r="J694" s="27">
        <f>SUMPRODUCT(COUNTIFS(확률!$J$2:$J$46, 원본!B694:G694, 확률!$M$2:$M$46, "&lt;=20"))</f>
        <v/>
      </c>
      <c r="K694" s="27">
        <f>SUMPRODUCT(COUNTIFS(확률!$J$2:$J$46, 원본!B694:G694, 확률!$M$2:$M$46, "&gt;=36"))</f>
        <v/>
      </c>
      <c r="L694" s="27">
        <f>6-J694-K694</f>
        <v/>
      </c>
    </row>
    <row r="695" ht="16.5" customHeight="1" s="28">
      <c r="A695" s="31" t="n">
        <v>694</v>
      </c>
      <c r="B695" s="27" t="n">
        <v>7</v>
      </c>
      <c r="C695" s="27" t="n">
        <v>15</v>
      </c>
      <c r="D695" s="27" t="n">
        <v>20</v>
      </c>
      <c r="E695" s="27" t="n">
        <v>25</v>
      </c>
      <c r="F695" s="27" t="n">
        <v>33</v>
      </c>
      <c r="G695" s="27" t="n">
        <v>43</v>
      </c>
      <c r="H695" s="27" t="n">
        <v>12</v>
      </c>
      <c r="J695" s="27">
        <f>SUMPRODUCT(COUNTIFS(확률!$J$2:$J$46, 원본!B695:G695, 확률!$M$2:$M$46, "&lt;=20"))</f>
        <v/>
      </c>
      <c r="K695" s="27">
        <f>SUMPRODUCT(COUNTIFS(확률!$J$2:$J$46, 원본!B695:G695, 확률!$M$2:$M$46, "&gt;=36"))</f>
        <v/>
      </c>
      <c r="L695" s="27">
        <f>6-J695-K695</f>
        <v/>
      </c>
    </row>
    <row r="696" ht="16.5" customHeight="1" s="28">
      <c r="A696" s="31" t="n">
        <v>695</v>
      </c>
      <c r="B696" s="27" t="n">
        <v>4</v>
      </c>
      <c r="C696" s="27" t="n">
        <v>18</v>
      </c>
      <c r="D696" s="27" t="n">
        <v>26</v>
      </c>
      <c r="E696" s="27" t="n">
        <v>33</v>
      </c>
      <c r="F696" s="27" t="n">
        <v>34</v>
      </c>
      <c r="G696" s="27" t="n">
        <v>38</v>
      </c>
      <c r="H696" s="27" t="n">
        <v>14</v>
      </c>
      <c r="J696" s="27">
        <f>SUMPRODUCT(COUNTIFS(확률!$J$2:$J$46, 원본!B696:G696, 확률!$M$2:$M$46, "&lt;=20"))</f>
        <v/>
      </c>
      <c r="K696" s="27">
        <f>SUMPRODUCT(COUNTIFS(확률!$J$2:$J$46, 원본!B696:G696, 확률!$M$2:$M$46, "&gt;=36"))</f>
        <v/>
      </c>
      <c r="L696" s="27">
        <f>6-J696-K696</f>
        <v/>
      </c>
    </row>
    <row r="697" ht="16.5" customHeight="1" s="28">
      <c r="A697" s="31" t="n">
        <v>696</v>
      </c>
      <c r="B697" s="27" t="n">
        <v>1</v>
      </c>
      <c r="C697" s="27" t="n">
        <v>7</v>
      </c>
      <c r="D697" s="27" t="n">
        <v>16</v>
      </c>
      <c r="E697" s="27" t="n">
        <v>18</v>
      </c>
      <c r="F697" s="27" t="n">
        <v>34</v>
      </c>
      <c r="G697" s="27" t="n">
        <v>38</v>
      </c>
      <c r="H697" s="27" t="n">
        <v>21</v>
      </c>
      <c r="J697" s="27">
        <f>SUMPRODUCT(COUNTIFS(확률!$J$2:$J$46, 원본!B697:G697, 확률!$M$2:$M$46, "&lt;=20"))</f>
        <v/>
      </c>
      <c r="K697" s="27">
        <f>SUMPRODUCT(COUNTIFS(확률!$J$2:$J$46, 원본!B697:G697, 확률!$M$2:$M$46, "&gt;=36"))</f>
        <v/>
      </c>
      <c r="L697" s="27">
        <f>6-J697-K697</f>
        <v/>
      </c>
    </row>
    <row r="698" ht="16.5" customHeight="1" s="28">
      <c r="A698" s="31" t="n">
        <v>697</v>
      </c>
      <c r="B698" s="27" t="n">
        <v>2</v>
      </c>
      <c r="C698" s="27" t="n">
        <v>5</v>
      </c>
      <c r="D698" s="27" t="n">
        <v>8</v>
      </c>
      <c r="E698" s="27" t="n">
        <v>11</v>
      </c>
      <c r="F698" s="27" t="n">
        <v>33</v>
      </c>
      <c r="G698" s="27" t="n">
        <v>39</v>
      </c>
      <c r="H698" s="27" t="n">
        <v>31</v>
      </c>
      <c r="J698" s="27">
        <f>SUMPRODUCT(COUNTIFS(확률!$J$2:$J$46, 원본!B698:G698, 확률!$M$2:$M$46, "&lt;=20"))</f>
        <v/>
      </c>
      <c r="K698" s="27">
        <f>SUMPRODUCT(COUNTIFS(확률!$J$2:$J$46, 원본!B698:G698, 확률!$M$2:$M$46, "&gt;=36"))</f>
        <v/>
      </c>
      <c r="L698" s="27">
        <f>6-J698-K698</f>
        <v/>
      </c>
    </row>
    <row r="699" ht="16.5" customHeight="1" s="28">
      <c r="A699" s="31" t="n">
        <v>698</v>
      </c>
      <c r="B699" s="27" t="n">
        <v>3</v>
      </c>
      <c r="C699" s="27" t="n">
        <v>11</v>
      </c>
      <c r="D699" s="27" t="n">
        <v>13</v>
      </c>
      <c r="E699" s="27" t="n">
        <v>21</v>
      </c>
      <c r="F699" s="27" t="n">
        <v>33</v>
      </c>
      <c r="G699" s="27" t="n">
        <v>37</v>
      </c>
      <c r="H699" s="27" t="n">
        <v>18</v>
      </c>
      <c r="J699" s="27">
        <f>SUMPRODUCT(COUNTIFS(확률!$J$2:$J$46, 원본!B699:G699, 확률!$M$2:$M$46, "&lt;=20"))</f>
        <v/>
      </c>
      <c r="K699" s="27">
        <f>SUMPRODUCT(COUNTIFS(확률!$J$2:$J$46, 원본!B699:G699, 확률!$M$2:$M$46, "&gt;=36"))</f>
        <v/>
      </c>
      <c r="L699" s="27">
        <f>6-J699-K699</f>
        <v/>
      </c>
    </row>
    <row r="700" ht="16.5" customHeight="1" s="28">
      <c r="A700" s="31" t="n">
        <v>699</v>
      </c>
      <c r="B700" s="27" t="n">
        <v>4</v>
      </c>
      <c r="C700" s="27" t="n">
        <v>5</v>
      </c>
      <c r="D700" s="27" t="n">
        <v>8</v>
      </c>
      <c r="E700" s="27" t="n">
        <v>16</v>
      </c>
      <c r="F700" s="27" t="n">
        <v>21</v>
      </c>
      <c r="G700" s="27" t="n">
        <v>29</v>
      </c>
      <c r="H700" s="27" t="n">
        <v>3</v>
      </c>
      <c r="J700" s="27">
        <f>SUMPRODUCT(COUNTIFS(확률!$J$2:$J$46, 원본!B700:G700, 확률!$M$2:$M$46, "&lt;=20"))</f>
        <v/>
      </c>
      <c r="K700" s="27">
        <f>SUMPRODUCT(COUNTIFS(확률!$J$2:$J$46, 원본!B700:G700, 확률!$M$2:$M$46, "&gt;=36"))</f>
        <v/>
      </c>
      <c r="L700" s="27">
        <f>6-J700-K700</f>
        <v/>
      </c>
    </row>
    <row r="701" ht="16.5" customHeight="1" s="28">
      <c r="A701" s="31" t="n">
        <v>700</v>
      </c>
      <c r="B701" s="27" t="n">
        <v>11</v>
      </c>
      <c r="C701" s="27" t="n">
        <v>23</v>
      </c>
      <c r="D701" s="27" t="n">
        <v>28</v>
      </c>
      <c r="E701" s="27" t="n">
        <v>29</v>
      </c>
      <c r="F701" s="27" t="n">
        <v>30</v>
      </c>
      <c r="G701" s="27" t="n">
        <v>44</v>
      </c>
      <c r="H701" s="27" t="n">
        <v>13</v>
      </c>
      <c r="J701" s="27">
        <f>SUMPRODUCT(COUNTIFS(확률!$J$2:$J$46, 원본!B701:G701, 확률!$M$2:$M$46, "&lt;=20"))</f>
        <v/>
      </c>
      <c r="K701" s="27">
        <f>SUMPRODUCT(COUNTIFS(확률!$J$2:$J$46, 원본!B701:G701, 확률!$M$2:$M$46, "&gt;=36"))</f>
        <v/>
      </c>
      <c r="L701" s="27">
        <f>6-J701-K701</f>
        <v/>
      </c>
    </row>
    <row r="702" ht="16.5" customHeight="1" s="28">
      <c r="A702" s="31" t="n">
        <v>701</v>
      </c>
      <c r="B702" s="27" t="n">
        <v>3</v>
      </c>
      <c r="C702" s="27" t="n">
        <v>10</v>
      </c>
      <c r="D702" s="27" t="n">
        <v>14</v>
      </c>
      <c r="E702" s="27" t="n">
        <v>16</v>
      </c>
      <c r="F702" s="27" t="n">
        <v>36</v>
      </c>
      <c r="G702" s="27" t="n">
        <v>38</v>
      </c>
      <c r="H702" s="27" t="n">
        <v>35</v>
      </c>
      <c r="J702" s="27">
        <f>SUMPRODUCT(COUNTIFS(확률!$J$2:$J$46, 원본!B702:G702, 확률!$M$2:$M$46, "&lt;=20"))</f>
        <v/>
      </c>
      <c r="K702" s="27">
        <f>SUMPRODUCT(COUNTIFS(확률!$J$2:$J$46, 원본!B702:G702, 확률!$M$2:$M$46, "&gt;=36"))</f>
        <v/>
      </c>
      <c r="L702" s="27">
        <f>6-J702-K702</f>
        <v/>
      </c>
    </row>
    <row r="703" ht="16.5" customHeight="1" s="28">
      <c r="A703" s="31" t="n">
        <v>702</v>
      </c>
      <c r="B703" s="27" t="n">
        <v>3</v>
      </c>
      <c r="C703" s="27" t="n">
        <v>13</v>
      </c>
      <c r="D703" s="27" t="n">
        <v>16</v>
      </c>
      <c r="E703" s="27" t="n">
        <v>24</v>
      </c>
      <c r="F703" s="27" t="n">
        <v>26</v>
      </c>
      <c r="G703" s="27" t="n">
        <v>29</v>
      </c>
      <c r="H703" s="27" t="n">
        <v>9</v>
      </c>
      <c r="J703" s="27">
        <f>SUMPRODUCT(COUNTIFS(확률!$J$2:$J$46, 원본!B703:G703, 확률!$M$2:$M$46, "&lt;=20"))</f>
        <v/>
      </c>
      <c r="K703" s="27">
        <f>SUMPRODUCT(COUNTIFS(확률!$J$2:$J$46, 원본!B703:G703, 확률!$M$2:$M$46, "&gt;=36"))</f>
        <v/>
      </c>
      <c r="L703" s="27">
        <f>6-J703-K703</f>
        <v/>
      </c>
    </row>
    <row r="704" ht="16.5" customHeight="1" s="28">
      <c r="A704" s="31" t="n">
        <v>703</v>
      </c>
      <c r="B704" s="27" t="n">
        <v>10</v>
      </c>
      <c r="C704" s="27" t="n">
        <v>28</v>
      </c>
      <c r="D704" s="27" t="n">
        <v>31</v>
      </c>
      <c r="E704" s="27" t="n">
        <v>33</v>
      </c>
      <c r="F704" s="27" t="n">
        <v>41</v>
      </c>
      <c r="G704" s="27" t="n">
        <v>44</v>
      </c>
      <c r="H704" s="27" t="n">
        <v>21</v>
      </c>
      <c r="J704" s="27">
        <f>SUMPRODUCT(COUNTIFS(확률!$J$2:$J$46, 원본!B704:G704, 확률!$M$2:$M$46, "&lt;=20"))</f>
        <v/>
      </c>
      <c r="K704" s="27">
        <f>SUMPRODUCT(COUNTIFS(확률!$J$2:$J$46, 원본!B704:G704, 확률!$M$2:$M$46, "&gt;=36"))</f>
        <v/>
      </c>
      <c r="L704" s="27">
        <f>6-J704-K704</f>
        <v/>
      </c>
    </row>
    <row r="705" ht="16.5" customHeight="1" s="28">
      <c r="A705" s="31" t="n">
        <v>704</v>
      </c>
      <c r="B705" s="27" t="n">
        <v>1</v>
      </c>
      <c r="C705" s="27" t="n">
        <v>4</v>
      </c>
      <c r="D705" s="27" t="n">
        <v>8</v>
      </c>
      <c r="E705" s="27" t="n">
        <v>23</v>
      </c>
      <c r="F705" s="27" t="n">
        <v>33</v>
      </c>
      <c r="G705" s="27" t="n">
        <v>42</v>
      </c>
      <c r="H705" s="27" t="n">
        <v>45</v>
      </c>
      <c r="J705" s="27">
        <f>SUMPRODUCT(COUNTIFS(확률!$J$2:$J$46, 원본!B705:G705, 확률!$M$2:$M$46, "&lt;=20"))</f>
        <v/>
      </c>
      <c r="K705" s="27">
        <f>SUMPRODUCT(COUNTIFS(확률!$J$2:$J$46, 원본!B705:G705, 확률!$M$2:$M$46, "&gt;=36"))</f>
        <v/>
      </c>
      <c r="L705" s="27">
        <f>6-J705-K705</f>
        <v/>
      </c>
    </row>
    <row r="706" ht="16.5" customHeight="1" s="28">
      <c r="A706" s="31" t="n">
        <v>705</v>
      </c>
      <c r="B706" s="27" t="n">
        <v>1</v>
      </c>
      <c r="C706" s="27" t="n">
        <v>6</v>
      </c>
      <c r="D706" s="27" t="n">
        <v>17</v>
      </c>
      <c r="E706" s="27" t="n">
        <v>22</v>
      </c>
      <c r="F706" s="27" t="n">
        <v>28</v>
      </c>
      <c r="G706" s="27" t="n">
        <v>45</v>
      </c>
      <c r="H706" s="27" t="n">
        <v>23</v>
      </c>
      <c r="J706" s="27">
        <f>SUMPRODUCT(COUNTIFS(확률!$J$2:$J$46, 원본!B706:G706, 확률!$M$2:$M$46, "&lt;=20"))</f>
        <v/>
      </c>
      <c r="K706" s="27">
        <f>SUMPRODUCT(COUNTIFS(확률!$J$2:$J$46, 원본!B706:G706, 확률!$M$2:$M$46, "&gt;=36"))</f>
        <v/>
      </c>
      <c r="L706" s="27">
        <f>6-J706-K706</f>
        <v/>
      </c>
    </row>
    <row r="707" ht="16.5" customHeight="1" s="28">
      <c r="A707" s="31" t="n">
        <v>706</v>
      </c>
      <c r="B707" s="27" t="n">
        <v>3</v>
      </c>
      <c r="C707" s="27" t="n">
        <v>4</v>
      </c>
      <c r="D707" s="27" t="n">
        <v>6</v>
      </c>
      <c r="E707" s="27" t="n">
        <v>10</v>
      </c>
      <c r="F707" s="27" t="n">
        <v>28</v>
      </c>
      <c r="G707" s="27" t="n">
        <v>30</v>
      </c>
      <c r="H707" s="27" t="n">
        <v>37</v>
      </c>
      <c r="J707" s="27">
        <f>SUMPRODUCT(COUNTIFS(확률!$J$2:$J$46, 원본!B707:G707, 확률!$M$2:$M$46, "&lt;=20"))</f>
        <v/>
      </c>
      <c r="K707" s="27">
        <f>SUMPRODUCT(COUNTIFS(확률!$J$2:$J$46, 원본!B707:G707, 확률!$M$2:$M$46, "&gt;=36"))</f>
        <v/>
      </c>
      <c r="L707" s="27">
        <f>6-J707-K707</f>
        <v/>
      </c>
    </row>
    <row r="708" ht="16.5" customHeight="1" s="28">
      <c r="A708" s="31" t="n">
        <v>707</v>
      </c>
      <c r="B708" s="27" t="n">
        <v>2</v>
      </c>
      <c r="C708" s="27" t="n">
        <v>12</v>
      </c>
      <c r="D708" s="27" t="n">
        <v>19</v>
      </c>
      <c r="E708" s="27" t="n">
        <v>24</v>
      </c>
      <c r="F708" s="27" t="n">
        <v>39</v>
      </c>
      <c r="G708" s="27" t="n">
        <v>44</v>
      </c>
      <c r="H708" s="27" t="n">
        <v>35</v>
      </c>
      <c r="J708" s="27">
        <f>SUMPRODUCT(COUNTIFS(확률!$J$2:$J$46, 원본!B708:G708, 확률!$M$2:$M$46, "&lt;=20"))</f>
        <v/>
      </c>
      <c r="K708" s="27">
        <f>SUMPRODUCT(COUNTIFS(확률!$J$2:$J$46, 원본!B708:G708, 확률!$M$2:$M$46, "&gt;=36"))</f>
        <v/>
      </c>
      <c r="L708" s="27">
        <f>6-J708-K708</f>
        <v/>
      </c>
    </row>
    <row r="709" ht="16.5" customHeight="1" s="28">
      <c r="A709" s="31" t="n">
        <v>708</v>
      </c>
      <c r="B709" s="27" t="n">
        <v>2</v>
      </c>
      <c r="C709" s="27" t="n">
        <v>10</v>
      </c>
      <c r="D709" s="27" t="n">
        <v>16</v>
      </c>
      <c r="E709" s="27" t="n">
        <v>19</v>
      </c>
      <c r="F709" s="27" t="n">
        <v>34</v>
      </c>
      <c r="G709" s="27" t="n">
        <v>45</v>
      </c>
      <c r="H709" s="27" t="n">
        <v>1</v>
      </c>
      <c r="J709" s="27">
        <f>SUMPRODUCT(COUNTIFS(확률!$J$2:$J$46, 원본!B709:G709, 확률!$M$2:$M$46, "&lt;=20"))</f>
        <v/>
      </c>
      <c r="K709" s="27">
        <f>SUMPRODUCT(COUNTIFS(확률!$J$2:$J$46, 원본!B709:G709, 확률!$M$2:$M$46, "&gt;=36"))</f>
        <v/>
      </c>
      <c r="L709" s="27">
        <f>6-J709-K709</f>
        <v/>
      </c>
    </row>
    <row r="710" ht="16.5" customHeight="1" s="28">
      <c r="A710" s="31" t="n">
        <v>709</v>
      </c>
      <c r="B710" s="27" t="n">
        <v>10</v>
      </c>
      <c r="C710" s="27" t="n">
        <v>18</v>
      </c>
      <c r="D710" s="27" t="n">
        <v>30</v>
      </c>
      <c r="E710" s="27" t="n">
        <v>36</v>
      </c>
      <c r="F710" s="27" t="n">
        <v>39</v>
      </c>
      <c r="G710" s="27" t="n">
        <v>44</v>
      </c>
      <c r="H710" s="27" t="n">
        <v>32</v>
      </c>
      <c r="J710" s="27">
        <f>SUMPRODUCT(COUNTIFS(확률!$J$2:$J$46, 원본!B710:G710, 확률!$M$2:$M$46, "&lt;=20"))</f>
        <v/>
      </c>
      <c r="K710" s="27">
        <f>SUMPRODUCT(COUNTIFS(확률!$J$2:$J$46, 원본!B710:G710, 확률!$M$2:$M$46, "&gt;=36"))</f>
        <v/>
      </c>
      <c r="L710" s="27">
        <f>6-J710-K710</f>
        <v/>
      </c>
    </row>
    <row r="711" ht="16.5" customHeight="1" s="28">
      <c r="A711" s="31" t="n">
        <v>710</v>
      </c>
      <c r="B711" s="27" t="n">
        <v>3</v>
      </c>
      <c r="C711" s="27" t="n">
        <v>4</v>
      </c>
      <c r="D711" s="27" t="n">
        <v>9</v>
      </c>
      <c r="E711" s="27" t="n">
        <v>24</v>
      </c>
      <c r="F711" s="27" t="n">
        <v>25</v>
      </c>
      <c r="G711" s="27" t="n">
        <v>33</v>
      </c>
      <c r="H711" s="27" t="n">
        <v>10</v>
      </c>
      <c r="J711" s="27">
        <f>SUMPRODUCT(COUNTIFS(확률!$J$2:$J$46, 원본!B711:G711, 확률!$M$2:$M$46, "&lt;=20"))</f>
        <v/>
      </c>
      <c r="K711" s="27">
        <f>SUMPRODUCT(COUNTIFS(확률!$J$2:$J$46, 원본!B711:G711, 확률!$M$2:$M$46, "&gt;=36"))</f>
        <v/>
      </c>
      <c r="L711" s="27">
        <f>6-J711-K711</f>
        <v/>
      </c>
    </row>
    <row r="712" ht="16.5" customHeight="1" s="28">
      <c r="A712" s="31" t="n">
        <v>711</v>
      </c>
      <c r="B712" s="27" t="n">
        <v>11</v>
      </c>
      <c r="C712" s="27" t="n">
        <v>15</v>
      </c>
      <c r="D712" s="27" t="n">
        <v>24</v>
      </c>
      <c r="E712" s="27" t="n">
        <v>35</v>
      </c>
      <c r="F712" s="27" t="n">
        <v>37</v>
      </c>
      <c r="G712" s="27" t="n">
        <v>45</v>
      </c>
      <c r="H712" s="27" t="n">
        <v>42</v>
      </c>
      <c r="J712" s="27">
        <f>SUMPRODUCT(COUNTIFS(확률!$J$2:$J$46, 원본!B712:G712, 확률!$M$2:$M$46, "&lt;=20"))</f>
        <v/>
      </c>
      <c r="K712" s="27">
        <f>SUMPRODUCT(COUNTIFS(확률!$J$2:$J$46, 원본!B712:G712, 확률!$M$2:$M$46, "&gt;=36"))</f>
        <v/>
      </c>
      <c r="L712" s="27">
        <f>6-J712-K712</f>
        <v/>
      </c>
    </row>
    <row r="713" ht="16.5" customHeight="1" s="28">
      <c r="A713" s="31" t="n">
        <v>712</v>
      </c>
      <c r="B713" s="27" t="n">
        <v>17</v>
      </c>
      <c r="C713" s="27" t="n">
        <v>20</v>
      </c>
      <c r="D713" s="27" t="n">
        <v>30</v>
      </c>
      <c r="E713" s="27" t="n">
        <v>31</v>
      </c>
      <c r="F713" s="27" t="n">
        <v>33</v>
      </c>
      <c r="G713" s="27" t="n">
        <v>45</v>
      </c>
      <c r="H713" s="27" t="n">
        <v>19</v>
      </c>
      <c r="J713" s="27">
        <f>SUMPRODUCT(COUNTIFS(확률!$J$2:$J$46, 원본!B713:G713, 확률!$M$2:$M$46, "&lt;=20"))</f>
        <v/>
      </c>
      <c r="K713" s="27">
        <f>SUMPRODUCT(COUNTIFS(확률!$J$2:$J$46, 원본!B713:G713, 확률!$M$2:$M$46, "&gt;=36"))</f>
        <v/>
      </c>
      <c r="L713" s="27">
        <f>6-J713-K713</f>
        <v/>
      </c>
    </row>
    <row r="714" ht="16.5" customHeight="1" s="28">
      <c r="A714" s="31" t="n">
        <v>713</v>
      </c>
      <c r="B714" s="27" t="n">
        <v>2</v>
      </c>
      <c r="C714" s="27" t="n">
        <v>5</v>
      </c>
      <c r="D714" s="27" t="n">
        <v>15</v>
      </c>
      <c r="E714" s="27" t="n">
        <v>18</v>
      </c>
      <c r="F714" s="27" t="n">
        <v>19</v>
      </c>
      <c r="G714" s="27" t="n">
        <v>23</v>
      </c>
      <c r="H714" s="27" t="n">
        <v>44</v>
      </c>
      <c r="J714" s="27">
        <f>SUMPRODUCT(COUNTIFS(확률!$J$2:$J$46, 원본!B714:G714, 확률!$M$2:$M$46, "&lt;=20"))</f>
        <v/>
      </c>
      <c r="K714" s="27">
        <f>SUMPRODUCT(COUNTIFS(확률!$J$2:$J$46, 원본!B714:G714, 확률!$M$2:$M$46, "&gt;=36"))</f>
        <v/>
      </c>
      <c r="L714" s="27">
        <f>6-J714-K714</f>
        <v/>
      </c>
    </row>
    <row r="715" ht="16.5" customHeight="1" s="28">
      <c r="A715" s="31" t="n">
        <v>714</v>
      </c>
      <c r="B715" s="27" t="n">
        <v>1</v>
      </c>
      <c r="C715" s="27" t="n">
        <v>7</v>
      </c>
      <c r="D715" s="27" t="n">
        <v>22</v>
      </c>
      <c r="E715" s="27" t="n">
        <v>33</v>
      </c>
      <c r="F715" s="27" t="n">
        <v>37</v>
      </c>
      <c r="G715" s="27" t="n">
        <v>40</v>
      </c>
      <c r="H715" s="27" t="n">
        <v>20</v>
      </c>
      <c r="J715" s="27">
        <f>SUMPRODUCT(COUNTIFS(확률!$J$2:$J$46, 원본!B715:G715, 확률!$M$2:$M$46, "&lt;=20"))</f>
        <v/>
      </c>
      <c r="K715" s="27">
        <f>SUMPRODUCT(COUNTIFS(확률!$J$2:$J$46, 원본!B715:G715, 확률!$M$2:$M$46, "&gt;=36"))</f>
        <v/>
      </c>
      <c r="L715" s="27">
        <f>6-J715-K715</f>
        <v/>
      </c>
    </row>
    <row r="716" ht="16.5" customHeight="1" s="28">
      <c r="A716" s="31" t="n">
        <v>715</v>
      </c>
      <c r="B716" s="27" t="n">
        <v>2</v>
      </c>
      <c r="C716" s="27" t="n">
        <v>7</v>
      </c>
      <c r="D716" s="27" t="n">
        <v>27</v>
      </c>
      <c r="E716" s="27" t="n">
        <v>33</v>
      </c>
      <c r="F716" s="27" t="n">
        <v>41</v>
      </c>
      <c r="G716" s="27" t="n">
        <v>44</v>
      </c>
      <c r="H716" s="27" t="n">
        <v>10</v>
      </c>
      <c r="J716" s="27">
        <f>SUMPRODUCT(COUNTIFS(확률!$J$2:$J$46, 원본!B716:G716, 확률!$M$2:$M$46, "&lt;=20"))</f>
        <v/>
      </c>
      <c r="K716" s="27">
        <f>SUMPRODUCT(COUNTIFS(확률!$J$2:$J$46, 원본!B716:G716, 확률!$M$2:$M$46, "&gt;=36"))</f>
        <v/>
      </c>
      <c r="L716" s="27">
        <f>6-J716-K716</f>
        <v/>
      </c>
    </row>
    <row r="717" ht="16.5" customHeight="1" s="28">
      <c r="A717" s="31" t="n">
        <v>716</v>
      </c>
      <c r="B717" s="27" t="n">
        <v>2</v>
      </c>
      <c r="C717" s="27" t="n">
        <v>6</v>
      </c>
      <c r="D717" s="27" t="n">
        <v>13</v>
      </c>
      <c r="E717" s="27" t="n">
        <v>16</v>
      </c>
      <c r="F717" s="27" t="n">
        <v>29</v>
      </c>
      <c r="G717" s="27" t="n">
        <v>30</v>
      </c>
      <c r="H717" s="27" t="n">
        <v>21</v>
      </c>
      <c r="J717" s="27">
        <f>SUMPRODUCT(COUNTIFS(확률!$J$2:$J$46, 원본!B717:G717, 확률!$M$2:$M$46, "&lt;=20"))</f>
        <v/>
      </c>
      <c r="K717" s="27">
        <f>SUMPRODUCT(COUNTIFS(확률!$J$2:$J$46, 원본!B717:G717, 확률!$M$2:$M$46, "&gt;=36"))</f>
        <v/>
      </c>
      <c r="L717" s="27">
        <f>6-J717-K717</f>
        <v/>
      </c>
    </row>
    <row r="718" ht="16.5" customHeight="1" s="28">
      <c r="A718" s="31" t="n">
        <v>717</v>
      </c>
      <c r="B718" s="27" t="n">
        <v>2</v>
      </c>
      <c r="C718" s="27" t="n">
        <v>11</v>
      </c>
      <c r="D718" s="27" t="n">
        <v>19</v>
      </c>
      <c r="E718" s="27" t="n">
        <v>25</v>
      </c>
      <c r="F718" s="27" t="n">
        <v>28</v>
      </c>
      <c r="G718" s="27" t="n">
        <v>32</v>
      </c>
      <c r="H718" s="27" t="n">
        <v>44</v>
      </c>
      <c r="J718" s="27">
        <f>SUMPRODUCT(COUNTIFS(확률!$J$2:$J$46, 원본!B718:G718, 확률!$M$2:$M$46, "&lt;=20"))</f>
        <v/>
      </c>
      <c r="K718" s="27">
        <f>SUMPRODUCT(COUNTIFS(확률!$J$2:$J$46, 원본!B718:G718, 확률!$M$2:$M$46, "&gt;=36"))</f>
        <v/>
      </c>
      <c r="L718" s="27">
        <f>6-J718-K718</f>
        <v/>
      </c>
    </row>
    <row r="719" ht="16.5" customHeight="1" s="28">
      <c r="A719" s="31" t="n">
        <v>718</v>
      </c>
      <c r="B719" s="27" t="n">
        <v>4</v>
      </c>
      <c r="C719" s="27" t="n">
        <v>11</v>
      </c>
      <c r="D719" s="27" t="n">
        <v>20</v>
      </c>
      <c r="E719" s="27" t="n">
        <v>23</v>
      </c>
      <c r="F719" s="27" t="n">
        <v>32</v>
      </c>
      <c r="G719" s="27" t="n">
        <v>39</v>
      </c>
      <c r="H719" s="27" t="n">
        <v>40</v>
      </c>
      <c r="J719" s="27">
        <f>SUMPRODUCT(COUNTIFS(확률!$J$2:$J$46, 원본!B719:G719, 확률!$M$2:$M$46, "&lt;=20"))</f>
        <v/>
      </c>
      <c r="K719" s="27">
        <f>SUMPRODUCT(COUNTIFS(확률!$J$2:$J$46, 원본!B719:G719, 확률!$M$2:$M$46, "&gt;=36"))</f>
        <v/>
      </c>
      <c r="L719" s="27">
        <f>6-J719-K719</f>
        <v/>
      </c>
    </row>
    <row r="720" ht="16.5" customHeight="1" s="28">
      <c r="A720" s="31" t="n">
        <v>719</v>
      </c>
      <c r="B720" s="27" t="n">
        <v>4</v>
      </c>
      <c r="C720" s="27" t="n">
        <v>8</v>
      </c>
      <c r="D720" s="27" t="n">
        <v>13</v>
      </c>
      <c r="E720" s="27" t="n">
        <v>19</v>
      </c>
      <c r="F720" s="27" t="n">
        <v>20</v>
      </c>
      <c r="G720" s="27" t="n">
        <v>43</v>
      </c>
      <c r="H720" s="27" t="n">
        <v>26</v>
      </c>
      <c r="J720" s="27">
        <f>SUMPRODUCT(COUNTIFS(확률!$J$2:$J$46, 원본!B720:G720, 확률!$M$2:$M$46, "&lt;=20"))</f>
        <v/>
      </c>
      <c r="K720" s="27">
        <f>SUMPRODUCT(COUNTIFS(확률!$J$2:$J$46, 원본!B720:G720, 확률!$M$2:$M$46, "&gt;=36"))</f>
        <v/>
      </c>
      <c r="L720" s="27">
        <f>6-J720-K720</f>
        <v/>
      </c>
    </row>
    <row r="721" ht="16.5" customHeight="1" s="28">
      <c r="A721" s="31" t="n">
        <v>720</v>
      </c>
      <c r="B721" s="27" t="n">
        <v>1</v>
      </c>
      <c r="C721" s="27" t="n">
        <v>12</v>
      </c>
      <c r="D721" s="27" t="n">
        <v>29</v>
      </c>
      <c r="E721" s="27" t="n">
        <v>34</v>
      </c>
      <c r="F721" s="27" t="n">
        <v>36</v>
      </c>
      <c r="G721" s="27" t="n">
        <v>37</v>
      </c>
      <c r="H721" s="27" t="n">
        <v>41</v>
      </c>
      <c r="J721" s="27">
        <f>SUMPRODUCT(COUNTIFS(확률!$J$2:$J$46, 원본!B721:G721, 확률!$M$2:$M$46, "&lt;=20"))</f>
        <v/>
      </c>
      <c r="K721" s="27">
        <f>SUMPRODUCT(COUNTIFS(확률!$J$2:$J$46, 원본!B721:G721, 확률!$M$2:$M$46, "&gt;=36"))</f>
        <v/>
      </c>
      <c r="L721" s="27">
        <f>6-J721-K721</f>
        <v/>
      </c>
    </row>
    <row r="722" ht="16.5" customHeight="1" s="28">
      <c r="A722" s="31" t="n">
        <v>721</v>
      </c>
      <c r="B722" s="27" t="n">
        <v>1</v>
      </c>
      <c r="C722" s="27" t="n">
        <v>28</v>
      </c>
      <c r="D722" s="27" t="n">
        <v>35</v>
      </c>
      <c r="E722" s="27" t="n">
        <v>41</v>
      </c>
      <c r="F722" s="27" t="n">
        <v>43</v>
      </c>
      <c r="G722" s="27" t="n">
        <v>44</v>
      </c>
      <c r="H722" s="27" t="n">
        <v>31</v>
      </c>
      <c r="J722" s="27">
        <f>SUMPRODUCT(COUNTIFS(확률!$J$2:$J$46, 원본!B722:G722, 확률!$M$2:$M$46, "&lt;=20"))</f>
        <v/>
      </c>
      <c r="K722" s="27">
        <f>SUMPRODUCT(COUNTIFS(확률!$J$2:$J$46, 원본!B722:G722, 확률!$M$2:$M$46, "&gt;=36"))</f>
        <v/>
      </c>
      <c r="L722" s="27">
        <f>6-J722-K722</f>
        <v/>
      </c>
    </row>
    <row r="723" ht="16.5" customHeight="1" s="28">
      <c r="A723" s="31" t="n">
        <v>722</v>
      </c>
      <c r="B723" s="27" t="n">
        <v>12</v>
      </c>
      <c r="C723" s="27" t="n">
        <v>14</v>
      </c>
      <c r="D723" s="27" t="n">
        <v>21</v>
      </c>
      <c r="E723" s="27" t="n">
        <v>30</v>
      </c>
      <c r="F723" s="27" t="n">
        <v>39</v>
      </c>
      <c r="G723" s="27" t="n">
        <v>43</v>
      </c>
      <c r="H723" s="27" t="n">
        <v>45</v>
      </c>
      <c r="J723" s="27">
        <f>SUMPRODUCT(COUNTIFS(확률!$J$2:$J$46, 원본!B723:G723, 확률!$M$2:$M$46, "&lt;=20"))</f>
        <v/>
      </c>
      <c r="K723" s="27">
        <f>SUMPRODUCT(COUNTIFS(확률!$J$2:$J$46, 원본!B723:G723, 확률!$M$2:$M$46, "&gt;=36"))</f>
        <v/>
      </c>
      <c r="L723" s="27">
        <f>6-J723-K723</f>
        <v/>
      </c>
    </row>
    <row r="724" ht="16.5" customHeight="1" s="28">
      <c r="A724" s="31" t="n">
        <v>723</v>
      </c>
      <c r="B724" s="27" t="n">
        <v>20</v>
      </c>
      <c r="C724" s="27" t="n">
        <v>30</v>
      </c>
      <c r="D724" s="27" t="n">
        <v>33</v>
      </c>
      <c r="E724" s="27" t="n">
        <v>35</v>
      </c>
      <c r="F724" s="27" t="n">
        <v>36</v>
      </c>
      <c r="G724" s="27" t="n">
        <v>44</v>
      </c>
      <c r="H724" s="27" t="n">
        <v>22</v>
      </c>
      <c r="J724" s="27">
        <f>SUMPRODUCT(COUNTIFS(확률!$J$2:$J$46, 원본!B724:G724, 확률!$M$2:$M$46, "&lt;=20"))</f>
        <v/>
      </c>
      <c r="K724" s="27">
        <f>SUMPRODUCT(COUNTIFS(확률!$J$2:$J$46, 원본!B724:G724, 확률!$M$2:$M$46, "&gt;=36"))</f>
        <v/>
      </c>
      <c r="L724" s="27">
        <f>6-J724-K724</f>
        <v/>
      </c>
    </row>
    <row r="725" ht="16.5" customHeight="1" s="28">
      <c r="A725" s="31" t="n">
        <v>724</v>
      </c>
      <c r="B725" s="27" t="n">
        <v>2</v>
      </c>
      <c r="C725" s="27" t="n">
        <v>8</v>
      </c>
      <c r="D725" s="27" t="n">
        <v>33</v>
      </c>
      <c r="E725" s="27" t="n">
        <v>35</v>
      </c>
      <c r="F725" s="27" t="n">
        <v>37</v>
      </c>
      <c r="G725" s="27" t="n">
        <v>41</v>
      </c>
      <c r="H725" s="27" t="n">
        <v>14</v>
      </c>
      <c r="J725" s="27">
        <f>SUMPRODUCT(COUNTIFS(확률!$J$2:$J$46, 원본!B725:G725, 확률!$M$2:$M$46, "&lt;=20"))</f>
        <v/>
      </c>
      <c r="K725" s="27">
        <f>SUMPRODUCT(COUNTIFS(확률!$J$2:$J$46, 원본!B725:G725, 확률!$M$2:$M$46, "&gt;=36"))</f>
        <v/>
      </c>
      <c r="L725" s="27">
        <f>6-J725-K725</f>
        <v/>
      </c>
    </row>
    <row r="726" ht="16.5" customHeight="1" s="28">
      <c r="A726" s="31" t="n">
        <v>725</v>
      </c>
      <c r="B726" s="27" t="n">
        <v>6</v>
      </c>
      <c r="C726" s="27" t="n">
        <v>7</v>
      </c>
      <c r="D726" s="27" t="n">
        <v>19</v>
      </c>
      <c r="E726" s="27" t="n">
        <v>21</v>
      </c>
      <c r="F726" s="27" t="n">
        <v>41</v>
      </c>
      <c r="G726" s="27" t="n">
        <v>43</v>
      </c>
      <c r="H726" s="27" t="n">
        <v>38</v>
      </c>
      <c r="J726" s="27">
        <f>SUMPRODUCT(COUNTIFS(확률!$J$2:$J$46, 원본!B726:G726, 확률!$M$2:$M$46, "&lt;=20"))</f>
        <v/>
      </c>
      <c r="K726" s="27">
        <f>SUMPRODUCT(COUNTIFS(확률!$J$2:$J$46, 원본!B726:G726, 확률!$M$2:$M$46, "&gt;=36"))</f>
        <v/>
      </c>
      <c r="L726" s="27">
        <f>6-J726-K726</f>
        <v/>
      </c>
    </row>
    <row r="727" ht="16.5" customHeight="1" s="28">
      <c r="A727" s="31" t="n">
        <v>726</v>
      </c>
      <c r="B727" s="27" t="n">
        <v>1</v>
      </c>
      <c r="C727" s="27" t="n">
        <v>11</v>
      </c>
      <c r="D727" s="27" t="n">
        <v>21</v>
      </c>
      <c r="E727" s="27" t="n">
        <v>23</v>
      </c>
      <c r="F727" s="27" t="n">
        <v>34</v>
      </c>
      <c r="G727" s="27" t="n">
        <v>44</v>
      </c>
      <c r="H727" s="27" t="n">
        <v>24</v>
      </c>
      <c r="J727" s="27">
        <f>SUMPRODUCT(COUNTIFS(확률!$J$2:$J$46, 원본!B727:G727, 확률!$M$2:$M$46, "&lt;=20"))</f>
        <v/>
      </c>
      <c r="K727" s="27">
        <f>SUMPRODUCT(COUNTIFS(확률!$J$2:$J$46, 원본!B727:G727, 확률!$M$2:$M$46, "&gt;=36"))</f>
        <v/>
      </c>
      <c r="L727" s="27">
        <f>6-J727-K727</f>
        <v/>
      </c>
    </row>
    <row r="728" ht="16.5" customHeight="1" s="28">
      <c r="A728" s="31" t="n">
        <v>727</v>
      </c>
      <c r="B728" s="27" t="n">
        <v>7</v>
      </c>
      <c r="C728" s="27" t="n">
        <v>8</v>
      </c>
      <c r="D728" s="27" t="n">
        <v>10</v>
      </c>
      <c r="E728" s="27" t="n">
        <v>19</v>
      </c>
      <c r="F728" s="27" t="n">
        <v>21</v>
      </c>
      <c r="G728" s="27" t="n">
        <v>31</v>
      </c>
      <c r="H728" s="27" t="n">
        <v>20</v>
      </c>
      <c r="J728" s="27">
        <f>SUMPRODUCT(COUNTIFS(확률!$J$2:$J$46, 원본!B728:G728, 확률!$M$2:$M$46, "&lt;=20"))</f>
        <v/>
      </c>
      <c r="K728" s="27">
        <f>SUMPRODUCT(COUNTIFS(확률!$J$2:$J$46, 원본!B728:G728, 확률!$M$2:$M$46, "&gt;=36"))</f>
        <v/>
      </c>
      <c r="L728" s="27">
        <f>6-J728-K728</f>
        <v/>
      </c>
    </row>
    <row r="729" ht="16.5" customHeight="1" s="28">
      <c r="A729" s="31" t="n">
        <v>728</v>
      </c>
      <c r="B729" s="27" t="n">
        <v>3</v>
      </c>
      <c r="C729" s="27" t="n">
        <v>6</v>
      </c>
      <c r="D729" s="27" t="n">
        <v>10</v>
      </c>
      <c r="E729" s="27" t="n">
        <v>30</v>
      </c>
      <c r="F729" s="27" t="n">
        <v>34</v>
      </c>
      <c r="G729" s="27" t="n">
        <v>37</v>
      </c>
      <c r="H729" s="27" t="n">
        <v>36</v>
      </c>
      <c r="J729" s="27">
        <f>SUMPRODUCT(COUNTIFS(확률!$J$2:$J$46, 원본!B729:G729, 확률!$M$2:$M$46, "&lt;=20"))</f>
        <v/>
      </c>
      <c r="K729" s="27">
        <f>SUMPRODUCT(COUNTIFS(확률!$J$2:$J$46, 원본!B729:G729, 확률!$M$2:$M$46, "&gt;=36"))</f>
        <v/>
      </c>
      <c r="L729" s="27">
        <f>6-J729-K729</f>
        <v/>
      </c>
    </row>
    <row r="730" ht="16.5" customHeight="1" s="28">
      <c r="A730" s="31" t="n">
        <v>729</v>
      </c>
      <c r="B730" s="27" t="n">
        <v>11</v>
      </c>
      <c r="C730" s="27" t="n">
        <v>17</v>
      </c>
      <c r="D730" s="27" t="n">
        <v>21</v>
      </c>
      <c r="E730" s="27" t="n">
        <v>26</v>
      </c>
      <c r="F730" s="27" t="n">
        <v>36</v>
      </c>
      <c r="G730" s="27" t="n">
        <v>45</v>
      </c>
      <c r="H730" s="27" t="n">
        <v>16</v>
      </c>
      <c r="J730" s="27">
        <f>SUMPRODUCT(COUNTIFS(확률!$J$2:$J$46, 원본!B730:G730, 확률!$M$2:$M$46, "&lt;=20"))</f>
        <v/>
      </c>
      <c r="K730" s="27">
        <f>SUMPRODUCT(COUNTIFS(확률!$J$2:$J$46, 원본!B730:G730, 확률!$M$2:$M$46, "&gt;=36"))</f>
        <v/>
      </c>
      <c r="L730" s="27">
        <f>6-J730-K730</f>
        <v/>
      </c>
    </row>
    <row r="731" ht="16.5" customHeight="1" s="28">
      <c r="A731" s="31" t="n">
        <v>730</v>
      </c>
      <c r="B731" s="27" t="n">
        <v>4</v>
      </c>
      <c r="C731" s="27" t="n">
        <v>10</v>
      </c>
      <c r="D731" s="27" t="n">
        <v>14</v>
      </c>
      <c r="E731" s="27" t="n">
        <v>15</v>
      </c>
      <c r="F731" s="27" t="n">
        <v>18</v>
      </c>
      <c r="G731" s="27" t="n">
        <v>22</v>
      </c>
      <c r="H731" s="27" t="n">
        <v>39</v>
      </c>
      <c r="J731" s="27">
        <f>SUMPRODUCT(COUNTIFS(확률!$J$2:$J$46, 원본!B731:G731, 확률!$M$2:$M$46, "&lt;=20"))</f>
        <v/>
      </c>
      <c r="K731" s="27">
        <f>SUMPRODUCT(COUNTIFS(확률!$J$2:$J$46, 원본!B731:G731, 확률!$M$2:$M$46, "&gt;=36"))</f>
        <v/>
      </c>
      <c r="L731" s="27">
        <f>6-J731-K731</f>
        <v/>
      </c>
    </row>
    <row r="732" ht="16.5" customHeight="1" s="28">
      <c r="A732" s="31" t="n">
        <v>731</v>
      </c>
      <c r="B732" s="27" t="n">
        <v>2</v>
      </c>
      <c r="C732" s="27" t="n">
        <v>7</v>
      </c>
      <c r="D732" s="27" t="n">
        <v>13</v>
      </c>
      <c r="E732" s="27" t="n">
        <v>25</v>
      </c>
      <c r="F732" s="27" t="n">
        <v>42</v>
      </c>
      <c r="G732" s="27" t="n">
        <v>45</v>
      </c>
      <c r="H732" s="27" t="n">
        <v>39</v>
      </c>
      <c r="J732" s="27">
        <f>SUMPRODUCT(COUNTIFS(확률!$J$2:$J$46, 원본!B732:G732, 확률!$M$2:$M$46, "&lt;=20"))</f>
        <v/>
      </c>
      <c r="K732" s="27">
        <f>SUMPRODUCT(COUNTIFS(확률!$J$2:$J$46, 원본!B732:G732, 확률!$M$2:$M$46, "&gt;=36"))</f>
        <v/>
      </c>
      <c r="L732" s="27">
        <f>6-J732-K732</f>
        <v/>
      </c>
    </row>
    <row r="733" ht="16.5" customHeight="1" s="28">
      <c r="A733" s="31" t="n">
        <v>732</v>
      </c>
      <c r="B733" s="27" t="n">
        <v>2</v>
      </c>
      <c r="C733" s="27" t="n">
        <v>4</v>
      </c>
      <c r="D733" s="27" t="n">
        <v>5</v>
      </c>
      <c r="E733" s="27" t="n">
        <v>17</v>
      </c>
      <c r="F733" s="27" t="n">
        <v>27</v>
      </c>
      <c r="G733" s="27" t="n">
        <v>32</v>
      </c>
      <c r="H733" s="27" t="n">
        <v>43</v>
      </c>
      <c r="J733" s="27">
        <f>SUMPRODUCT(COUNTIFS(확률!$J$2:$J$46, 원본!B733:G733, 확률!$M$2:$M$46, "&lt;=20"))</f>
        <v/>
      </c>
      <c r="K733" s="27">
        <f>SUMPRODUCT(COUNTIFS(확률!$J$2:$J$46, 원본!B733:G733, 확률!$M$2:$M$46, "&gt;=36"))</f>
        <v/>
      </c>
      <c r="L733" s="27">
        <f>6-J733-K733</f>
        <v/>
      </c>
    </row>
    <row r="734" ht="16.5" customHeight="1" s="28">
      <c r="A734" s="31" t="n">
        <v>733</v>
      </c>
      <c r="B734" s="27" t="n">
        <v>11</v>
      </c>
      <c r="C734" s="27" t="n">
        <v>24</v>
      </c>
      <c r="D734" s="27" t="n">
        <v>32</v>
      </c>
      <c r="E734" s="27" t="n">
        <v>33</v>
      </c>
      <c r="F734" s="27" t="n">
        <v>35</v>
      </c>
      <c r="G734" s="27" t="n">
        <v>40</v>
      </c>
      <c r="H734" s="27" t="n">
        <v>13</v>
      </c>
      <c r="J734" s="27">
        <f>SUMPRODUCT(COUNTIFS(확률!$J$2:$J$46, 원본!B734:G734, 확률!$M$2:$M$46, "&lt;=20"))</f>
        <v/>
      </c>
      <c r="K734" s="27">
        <f>SUMPRODUCT(COUNTIFS(확률!$J$2:$J$46, 원본!B734:G734, 확률!$M$2:$M$46, "&gt;=36"))</f>
        <v/>
      </c>
      <c r="L734" s="27">
        <f>6-J734-K734</f>
        <v/>
      </c>
    </row>
    <row r="735" ht="16.5" customHeight="1" s="28">
      <c r="A735" s="31" t="n">
        <v>734</v>
      </c>
      <c r="B735" s="27" t="n">
        <v>6</v>
      </c>
      <c r="C735" s="27" t="n">
        <v>16</v>
      </c>
      <c r="D735" s="27" t="n">
        <v>37</v>
      </c>
      <c r="E735" s="27" t="n">
        <v>38</v>
      </c>
      <c r="F735" s="27" t="n">
        <v>41</v>
      </c>
      <c r="G735" s="27" t="n">
        <v>45</v>
      </c>
      <c r="H735" s="27" t="n">
        <v>18</v>
      </c>
      <c r="J735" s="27">
        <f>SUMPRODUCT(COUNTIFS(확률!$J$2:$J$46, 원본!B735:G735, 확률!$M$2:$M$46, "&lt;=20"))</f>
        <v/>
      </c>
      <c r="K735" s="27">
        <f>SUMPRODUCT(COUNTIFS(확률!$J$2:$J$46, 원본!B735:G735, 확률!$M$2:$M$46, "&gt;=36"))</f>
        <v/>
      </c>
      <c r="L735" s="27">
        <f>6-J735-K735</f>
        <v/>
      </c>
    </row>
    <row r="736" ht="16.5" customHeight="1" s="28">
      <c r="A736" s="31" t="n">
        <v>735</v>
      </c>
      <c r="B736" s="27" t="n">
        <v>5</v>
      </c>
      <c r="C736" s="27" t="n">
        <v>10</v>
      </c>
      <c r="D736" s="27" t="n">
        <v>13</v>
      </c>
      <c r="E736" s="27" t="n">
        <v>27</v>
      </c>
      <c r="F736" s="27" t="n">
        <v>37</v>
      </c>
      <c r="G736" s="27" t="n">
        <v>41</v>
      </c>
      <c r="H736" s="27" t="n">
        <v>4</v>
      </c>
      <c r="J736" s="27">
        <f>SUMPRODUCT(COUNTIFS(확률!$J$2:$J$46, 원본!B736:G736, 확률!$M$2:$M$46, "&lt;=20"))</f>
        <v/>
      </c>
      <c r="K736" s="27">
        <f>SUMPRODUCT(COUNTIFS(확률!$J$2:$J$46, 원본!B736:G736, 확률!$M$2:$M$46, "&gt;=36"))</f>
        <v/>
      </c>
      <c r="L736" s="27">
        <f>6-J736-K736</f>
        <v/>
      </c>
    </row>
    <row r="737" ht="16.5" customHeight="1" s="28">
      <c r="A737" s="31" t="n">
        <v>736</v>
      </c>
      <c r="B737" s="27" t="n">
        <v>2</v>
      </c>
      <c r="C737" s="27" t="n">
        <v>11</v>
      </c>
      <c r="D737" s="27" t="n">
        <v>17</v>
      </c>
      <c r="E737" s="27" t="n">
        <v>18</v>
      </c>
      <c r="F737" s="27" t="n">
        <v>21</v>
      </c>
      <c r="G737" s="27" t="n">
        <v>27</v>
      </c>
      <c r="H737" s="27" t="n">
        <v>6</v>
      </c>
      <c r="J737" s="27">
        <f>SUMPRODUCT(COUNTIFS(확률!$J$2:$J$46, 원본!B737:G737, 확률!$M$2:$M$46, "&lt;=20"))</f>
        <v/>
      </c>
      <c r="K737" s="27">
        <f>SUMPRODUCT(COUNTIFS(확률!$J$2:$J$46, 원본!B737:G737, 확률!$M$2:$M$46, "&gt;=36"))</f>
        <v/>
      </c>
      <c r="L737" s="27">
        <f>6-J737-K737</f>
        <v/>
      </c>
    </row>
    <row r="738" ht="16.5" customHeight="1" s="28">
      <c r="A738" s="31" t="n">
        <v>737</v>
      </c>
      <c r="B738" s="27" t="n">
        <v>13</v>
      </c>
      <c r="C738" s="27" t="n">
        <v>15</v>
      </c>
      <c r="D738" s="27" t="n">
        <v>18</v>
      </c>
      <c r="E738" s="27" t="n">
        <v>24</v>
      </c>
      <c r="F738" s="27" t="n">
        <v>27</v>
      </c>
      <c r="G738" s="27" t="n">
        <v>41</v>
      </c>
      <c r="H738" s="27" t="n">
        <v>11</v>
      </c>
      <c r="J738" s="27">
        <f>SUMPRODUCT(COUNTIFS(확률!$J$2:$J$46, 원본!B738:G738, 확률!$M$2:$M$46, "&lt;=20"))</f>
        <v/>
      </c>
      <c r="K738" s="27">
        <f>SUMPRODUCT(COUNTIFS(확률!$J$2:$J$46, 원본!B738:G738, 확률!$M$2:$M$46, "&gt;=36"))</f>
        <v/>
      </c>
      <c r="L738" s="27">
        <f>6-J738-K738</f>
        <v/>
      </c>
    </row>
    <row r="739" ht="16.5" customHeight="1" s="28">
      <c r="A739" s="31" t="n">
        <v>738</v>
      </c>
      <c r="B739" s="27" t="n">
        <v>23</v>
      </c>
      <c r="C739" s="27" t="n">
        <v>27</v>
      </c>
      <c r="D739" s="27" t="n">
        <v>28</v>
      </c>
      <c r="E739" s="27" t="n">
        <v>38</v>
      </c>
      <c r="F739" s="27" t="n">
        <v>42</v>
      </c>
      <c r="G739" s="27" t="n">
        <v>43</v>
      </c>
      <c r="H739" s="27" t="n">
        <v>36</v>
      </c>
      <c r="J739" s="27">
        <f>SUMPRODUCT(COUNTIFS(확률!$J$2:$J$46, 원본!B739:G739, 확률!$M$2:$M$46, "&lt;=20"))</f>
        <v/>
      </c>
      <c r="K739" s="27">
        <f>SUMPRODUCT(COUNTIFS(확률!$J$2:$J$46, 원본!B739:G739, 확률!$M$2:$M$46, "&gt;=36"))</f>
        <v/>
      </c>
      <c r="L739" s="27">
        <f>6-J739-K739</f>
        <v/>
      </c>
    </row>
    <row r="740" ht="16.5" customHeight="1" s="28">
      <c r="A740" s="31" t="n">
        <v>739</v>
      </c>
      <c r="B740" s="27" t="n">
        <v>7</v>
      </c>
      <c r="C740" s="27" t="n">
        <v>22</v>
      </c>
      <c r="D740" s="27" t="n">
        <v>29</v>
      </c>
      <c r="E740" s="27" t="n">
        <v>33</v>
      </c>
      <c r="F740" s="27" t="n">
        <v>34</v>
      </c>
      <c r="G740" s="27" t="n">
        <v>35</v>
      </c>
      <c r="H740" s="27" t="n">
        <v>30</v>
      </c>
      <c r="J740" s="27">
        <f>SUMPRODUCT(COUNTIFS(확률!$J$2:$J$46, 원본!B740:G740, 확률!$M$2:$M$46, "&lt;=20"))</f>
        <v/>
      </c>
      <c r="K740" s="27">
        <f>SUMPRODUCT(COUNTIFS(확률!$J$2:$J$46, 원본!B740:G740, 확률!$M$2:$M$46, "&gt;=36"))</f>
        <v/>
      </c>
      <c r="L740" s="27">
        <f>6-J740-K740</f>
        <v/>
      </c>
    </row>
    <row r="741" ht="16.5" customHeight="1" s="28">
      <c r="A741" s="31" t="n">
        <v>740</v>
      </c>
      <c r="B741" s="27" t="n">
        <v>4</v>
      </c>
      <c r="C741" s="27" t="n">
        <v>8</v>
      </c>
      <c r="D741" s="27" t="n">
        <v>9</v>
      </c>
      <c r="E741" s="27" t="n">
        <v>16</v>
      </c>
      <c r="F741" s="27" t="n">
        <v>17</v>
      </c>
      <c r="G741" s="27" t="n">
        <v>19</v>
      </c>
      <c r="H741" s="27" t="n">
        <v>31</v>
      </c>
      <c r="J741" s="27">
        <f>SUMPRODUCT(COUNTIFS(확률!$J$2:$J$46, 원본!B741:G741, 확률!$M$2:$M$46, "&lt;=20"))</f>
        <v/>
      </c>
      <c r="K741" s="27">
        <f>SUMPRODUCT(COUNTIFS(확률!$J$2:$J$46, 원본!B741:G741, 확률!$M$2:$M$46, "&gt;=36"))</f>
        <v/>
      </c>
      <c r="L741" s="27">
        <f>6-J741-K741</f>
        <v/>
      </c>
    </row>
    <row r="742" ht="16.5" customHeight="1" s="28">
      <c r="A742" s="31" t="n">
        <v>741</v>
      </c>
      <c r="B742" s="27" t="n">
        <v>5</v>
      </c>
      <c r="C742" s="27" t="n">
        <v>21</v>
      </c>
      <c r="D742" s="27" t="n">
        <v>27</v>
      </c>
      <c r="E742" s="27" t="n">
        <v>34</v>
      </c>
      <c r="F742" s="27" t="n">
        <v>44</v>
      </c>
      <c r="G742" s="27" t="n">
        <v>45</v>
      </c>
      <c r="H742" s="27" t="n">
        <v>16</v>
      </c>
      <c r="J742" s="27">
        <f>SUMPRODUCT(COUNTIFS(확률!$J$2:$J$46, 원본!B742:G742, 확률!$M$2:$M$46, "&lt;=20"))</f>
        <v/>
      </c>
      <c r="K742" s="27">
        <f>SUMPRODUCT(COUNTIFS(확률!$J$2:$J$46, 원본!B742:G742, 확률!$M$2:$M$46, "&gt;=36"))</f>
        <v/>
      </c>
      <c r="L742" s="27">
        <f>6-J742-K742</f>
        <v/>
      </c>
    </row>
    <row r="743" ht="16.5" customHeight="1" s="28">
      <c r="A743" s="31" t="n">
        <v>742</v>
      </c>
      <c r="B743" s="27" t="n">
        <v>8</v>
      </c>
      <c r="C743" s="27" t="n">
        <v>10</v>
      </c>
      <c r="D743" s="27" t="n">
        <v>13</v>
      </c>
      <c r="E743" s="27" t="n">
        <v>36</v>
      </c>
      <c r="F743" s="27" t="n">
        <v>37</v>
      </c>
      <c r="G743" s="27" t="n">
        <v>40</v>
      </c>
      <c r="H743" s="27" t="n">
        <v>6</v>
      </c>
      <c r="J743" s="27">
        <f>SUMPRODUCT(COUNTIFS(확률!$J$2:$J$46, 원본!B743:G743, 확률!$M$2:$M$46, "&lt;=20"))</f>
        <v/>
      </c>
      <c r="K743" s="27">
        <f>SUMPRODUCT(COUNTIFS(확률!$J$2:$J$46, 원본!B743:G743, 확률!$M$2:$M$46, "&gt;=36"))</f>
        <v/>
      </c>
      <c r="L743" s="27">
        <f>6-J743-K743</f>
        <v/>
      </c>
    </row>
    <row r="744" ht="16.5" customHeight="1" s="28">
      <c r="A744" s="31" t="n">
        <v>743</v>
      </c>
      <c r="B744" s="27" t="n">
        <v>15</v>
      </c>
      <c r="C744" s="27" t="n">
        <v>19</v>
      </c>
      <c r="D744" s="27" t="n">
        <v>21</v>
      </c>
      <c r="E744" s="27" t="n">
        <v>34</v>
      </c>
      <c r="F744" s="27" t="n">
        <v>41</v>
      </c>
      <c r="G744" s="27" t="n">
        <v>44</v>
      </c>
      <c r="H744" s="27" t="n">
        <v>10</v>
      </c>
      <c r="J744" s="27">
        <f>SUMPRODUCT(COUNTIFS(확률!$J$2:$J$46, 원본!B744:G744, 확률!$M$2:$M$46, "&lt;=20"))</f>
        <v/>
      </c>
      <c r="K744" s="27">
        <f>SUMPRODUCT(COUNTIFS(확률!$J$2:$J$46, 원본!B744:G744, 확률!$M$2:$M$46, "&gt;=36"))</f>
        <v/>
      </c>
      <c r="L744" s="27">
        <f>6-J744-K744</f>
        <v/>
      </c>
    </row>
    <row r="745" ht="16.5" customHeight="1" s="28">
      <c r="A745" s="31" t="n">
        <v>744</v>
      </c>
      <c r="B745" s="27" t="n">
        <v>10</v>
      </c>
      <c r="C745" s="27" t="n">
        <v>15</v>
      </c>
      <c r="D745" s="27" t="n">
        <v>18</v>
      </c>
      <c r="E745" s="27" t="n">
        <v>21</v>
      </c>
      <c r="F745" s="27" t="n">
        <v>34</v>
      </c>
      <c r="G745" s="27" t="n">
        <v>41</v>
      </c>
      <c r="H745" s="27" t="n">
        <v>43</v>
      </c>
      <c r="J745" s="27">
        <f>SUMPRODUCT(COUNTIFS(확률!$J$2:$J$46, 원본!B745:G745, 확률!$M$2:$M$46, "&lt;=20"))</f>
        <v/>
      </c>
      <c r="K745" s="27">
        <f>SUMPRODUCT(COUNTIFS(확률!$J$2:$J$46, 원본!B745:G745, 확률!$M$2:$M$46, "&gt;=36"))</f>
        <v/>
      </c>
      <c r="L745" s="27">
        <f>6-J745-K745</f>
        <v/>
      </c>
    </row>
    <row r="746" ht="16.5" customHeight="1" s="28">
      <c r="A746" s="31" t="n">
        <v>745</v>
      </c>
      <c r="B746" s="27" t="n">
        <v>1</v>
      </c>
      <c r="C746" s="27" t="n">
        <v>2</v>
      </c>
      <c r="D746" s="27" t="n">
        <v>3</v>
      </c>
      <c r="E746" s="27" t="n">
        <v>9</v>
      </c>
      <c r="F746" s="27" t="n">
        <v>12</v>
      </c>
      <c r="G746" s="27" t="n">
        <v>23</v>
      </c>
      <c r="H746" s="27" t="n">
        <v>10</v>
      </c>
      <c r="J746" s="27">
        <f>SUMPRODUCT(COUNTIFS(확률!$J$2:$J$46, 원본!B746:G746, 확률!$M$2:$M$46, "&lt;=20"))</f>
        <v/>
      </c>
      <c r="K746" s="27">
        <f>SUMPRODUCT(COUNTIFS(확률!$J$2:$J$46, 원본!B746:G746, 확률!$M$2:$M$46, "&gt;=36"))</f>
        <v/>
      </c>
      <c r="L746" s="27">
        <f>6-J746-K746</f>
        <v/>
      </c>
    </row>
    <row r="747" ht="16.5" customHeight="1" s="28">
      <c r="A747" s="31" t="n">
        <v>746</v>
      </c>
      <c r="B747" s="27" t="n">
        <v>3</v>
      </c>
      <c r="C747" s="27" t="n">
        <v>12</v>
      </c>
      <c r="D747" s="27" t="n">
        <v>33</v>
      </c>
      <c r="E747" s="27" t="n">
        <v>36</v>
      </c>
      <c r="F747" s="27" t="n">
        <v>42</v>
      </c>
      <c r="G747" s="27" t="n">
        <v>45</v>
      </c>
      <c r="H747" s="27" t="n">
        <v>25</v>
      </c>
      <c r="J747" s="27">
        <f>SUMPRODUCT(COUNTIFS(확률!$J$2:$J$46, 원본!B747:G747, 확률!$M$2:$M$46, "&lt;=20"))</f>
        <v/>
      </c>
      <c r="K747" s="27">
        <f>SUMPRODUCT(COUNTIFS(확률!$J$2:$J$46, 원본!B747:G747, 확률!$M$2:$M$46, "&gt;=36"))</f>
        <v/>
      </c>
      <c r="L747" s="27">
        <f>6-J747-K747</f>
        <v/>
      </c>
    </row>
    <row r="748" ht="16.5" customHeight="1" s="28">
      <c r="A748" s="31" t="n">
        <v>747</v>
      </c>
      <c r="B748" s="27" t="n">
        <v>7</v>
      </c>
      <c r="C748" s="27" t="n">
        <v>9</v>
      </c>
      <c r="D748" s="27" t="n">
        <v>12</v>
      </c>
      <c r="E748" s="27" t="n">
        <v>14</v>
      </c>
      <c r="F748" s="27" t="n">
        <v>23</v>
      </c>
      <c r="G748" s="27" t="n">
        <v>28</v>
      </c>
      <c r="H748" s="27" t="n">
        <v>17</v>
      </c>
      <c r="J748" s="27">
        <f>SUMPRODUCT(COUNTIFS(확률!$J$2:$J$46, 원본!B748:G748, 확률!$M$2:$M$46, "&lt;=20"))</f>
        <v/>
      </c>
      <c r="K748" s="27">
        <f>SUMPRODUCT(COUNTIFS(확률!$J$2:$J$46, 원본!B748:G748, 확률!$M$2:$M$46, "&gt;=36"))</f>
        <v/>
      </c>
      <c r="L748" s="27">
        <f>6-J748-K748</f>
        <v/>
      </c>
    </row>
    <row r="749" ht="16.5" customHeight="1" s="28">
      <c r="A749" s="31" t="n">
        <v>748</v>
      </c>
      <c r="B749" s="27" t="n">
        <v>3</v>
      </c>
      <c r="C749" s="27" t="n">
        <v>10</v>
      </c>
      <c r="D749" s="27" t="n">
        <v>13</v>
      </c>
      <c r="E749" s="27" t="n">
        <v>22</v>
      </c>
      <c r="F749" s="27" t="n">
        <v>31</v>
      </c>
      <c r="G749" s="27" t="n">
        <v>32</v>
      </c>
      <c r="H749" s="27" t="n">
        <v>29</v>
      </c>
      <c r="J749" s="27">
        <f>SUMPRODUCT(COUNTIFS(확률!$J$2:$J$46, 원본!B749:G749, 확률!$M$2:$M$46, "&lt;=20"))</f>
        <v/>
      </c>
      <c r="K749" s="27">
        <f>SUMPRODUCT(COUNTIFS(확률!$J$2:$J$46, 원본!B749:G749, 확률!$M$2:$M$46, "&gt;=36"))</f>
        <v/>
      </c>
      <c r="L749" s="27">
        <f>6-J749-K749</f>
        <v/>
      </c>
    </row>
    <row r="750" ht="16.5" customHeight="1" s="28">
      <c r="A750" s="31" t="n">
        <v>749</v>
      </c>
      <c r="B750" s="27" t="n">
        <v>12</v>
      </c>
      <c r="C750" s="27" t="n">
        <v>14</v>
      </c>
      <c r="D750" s="27" t="n">
        <v>24</v>
      </c>
      <c r="E750" s="27" t="n">
        <v>26</v>
      </c>
      <c r="F750" s="27" t="n">
        <v>34</v>
      </c>
      <c r="G750" s="27" t="n">
        <v>45</v>
      </c>
      <c r="H750" s="27" t="n">
        <v>41</v>
      </c>
      <c r="J750" s="27">
        <f>SUMPRODUCT(COUNTIFS(확률!$J$2:$J$46, 원본!B750:G750, 확률!$M$2:$M$46, "&lt;=20"))</f>
        <v/>
      </c>
      <c r="K750" s="27">
        <f>SUMPRODUCT(COUNTIFS(확률!$J$2:$J$46, 원본!B750:G750, 확률!$M$2:$M$46, "&gt;=36"))</f>
        <v/>
      </c>
      <c r="L750" s="27">
        <f>6-J750-K750</f>
        <v/>
      </c>
    </row>
    <row r="751" ht="16.5" customHeight="1" s="28">
      <c r="A751" s="31" t="n">
        <v>750</v>
      </c>
      <c r="B751" s="27" t="n">
        <v>1</v>
      </c>
      <c r="C751" s="27" t="n">
        <v>2</v>
      </c>
      <c r="D751" s="27" t="n">
        <v>15</v>
      </c>
      <c r="E751" s="27" t="n">
        <v>19</v>
      </c>
      <c r="F751" s="27" t="n">
        <v>24</v>
      </c>
      <c r="G751" s="27" t="n">
        <v>36</v>
      </c>
      <c r="H751" s="27" t="n">
        <v>12</v>
      </c>
      <c r="J751" s="27">
        <f>SUMPRODUCT(COUNTIFS(확률!$J$2:$J$46, 원본!B751:G751, 확률!$M$2:$M$46, "&lt;=20"))</f>
        <v/>
      </c>
      <c r="K751" s="27">
        <f>SUMPRODUCT(COUNTIFS(확률!$J$2:$J$46, 원본!B751:G751, 확률!$M$2:$M$46, "&gt;=36"))</f>
        <v/>
      </c>
      <c r="L751" s="27">
        <f>6-J751-K751</f>
        <v/>
      </c>
    </row>
    <row r="752" ht="16.5" customHeight="1" s="28">
      <c r="A752" s="31" t="n">
        <v>751</v>
      </c>
      <c r="B752" s="27" t="n">
        <v>3</v>
      </c>
      <c r="C752" s="27" t="n">
        <v>4</v>
      </c>
      <c r="D752" s="27" t="n">
        <v>16</v>
      </c>
      <c r="E752" s="27" t="n">
        <v>20</v>
      </c>
      <c r="F752" s="27" t="n">
        <v>28</v>
      </c>
      <c r="G752" s="27" t="n">
        <v>44</v>
      </c>
      <c r="H752" s="27" t="n">
        <v>17</v>
      </c>
      <c r="J752" s="27">
        <f>SUMPRODUCT(COUNTIFS(확률!$J$2:$J$46, 원본!B752:G752, 확률!$M$2:$M$46, "&lt;=20"))</f>
        <v/>
      </c>
      <c r="K752" s="27">
        <f>SUMPRODUCT(COUNTIFS(확률!$J$2:$J$46, 원본!B752:G752, 확률!$M$2:$M$46, "&gt;=36"))</f>
        <v/>
      </c>
      <c r="L752" s="27">
        <f>6-J752-K752</f>
        <v/>
      </c>
    </row>
    <row r="753" ht="16.5" customHeight="1" s="28">
      <c r="A753" s="31" t="n">
        <v>752</v>
      </c>
      <c r="B753" s="27" t="n">
        <v>4</v>
      </c>
      <c r="C753" s="27" t="n">
        <v>16</v>
      </c>
      <c r="D753" s="27" t="n">
        <v>20</v>
      </c>
      <c r="E753" s="27" t="n">
        <v>33</v>
      </c>
      <c r="F753" s="27" t="n">
        <v>40</v>
      </c>
      <c r="G753" s="27" t="n">
        <v>43</v>
      </c>
      <c r="H753" s="27" t="n">
        <v>7</v>
      </c>
      <c r="J753" s="27">
        <f>SUMPRODUCT(COUNTIFS(확률!$J$2:$J$46, 원본!B753:G753, 확률!$M$2:$M$46, "&lt;=20"))</f>
        <v/>
      </c>
      <c r="K753" s="27">
        <f>SUMPRODUCT(COUNTIFS(확률!$J$2:$J$46, 원본!B753:G753, 확률!$M$2:$M$46, "&gt;=36"))</f>
        <v/>
      </c>
      <c r="L753" s="27">
        <f>6-J753-K753</f>
        <v/>
      </c>
    </row>
    <row r="754" ht="16.5" customHeight="1" s="28">
      <c r="A754" s="31" t="n">
        <v>753</v>
      </c>
      <c r="B754" s="27" t="n">
        <v>2</v>
      </c>
      <c r="C754" s="27" t="n">
        <v>17</v>
      </c>
      <c r="D754" s="27" t="n">
        <v>19</v>
      </c>
      <c r="E754" s="27" t="n">
        <v>24</v>
      </c>
      <c r="F754" s="27" t="n">
        <v>37</v>
      </c>
      <c r="G754" s="27" t="n">
        <v>41</v>
      </c>
      <c r="H754" s="27" t="n">
        <v>3</v>
      </c>
      <c r="J754" s="27">
        <f>SUMPRODUCT(COUNTIFS(확률!$J$2:$J$46, 원본!B754:G754, 확률!$M$2:$M$46, "&lt;=20"))</f>
        <v/>
      </c>
      <c r="K754" s="27">
        <f>SUMPRODUCT(COUNTIFS(확률!$J$2:$J$46, 원본!B754:G754, 확률!$M$2:$M$46, "&gt;=36"))</f>
        <v/>
      </c>
      <c r="L754" s="27">
        <f>6-J754-K754</f>
        <v/>
      </c>
    </row>
    <row r="755" ht="16.5" customHeight="1" s="28">
      <c r="A755" s="31" t="n">
        <v>754</v>
      </c>
      <c r="B755" s="27" t="n">
        <v>2</v>
      </c>
      <c r="C755" s="27" t="n">
        <v>8</v>
      </c>
      <c r="D755" s="27" t="n">
        <v>17</v>
      </c>
      <c r="E755" s="27" t="n">
        <v>24</v>
      </c>
      <c r="F755" s="27" t="n">
        <v>29</v>
      </c>
      <c r="G755" s="27" t="n">
        <v>31</v>
      </c>
      <c r="H755" s="27" t="n">
        <v>32</v>
      </c>
      <c r="J755" s="27">
        <f>SUMPRODUCT(COUNTIFS(확률!$J$2:$J$46, 원본!B755:G755, 확률!$M$2:$M$46, "&lt;=20"))</f>
        <v/>
      </c>
      <c r="K755" s="27">
        <f>SUMPRODUCT(COUNTIFS(확률!$J$2:$J$46, 원본!B755:G755, 확률!$M$2:$M$46, "&gt;=36"))</f>
        <v/>
      </c>
      <c r="L755" s="27">
        <f>6-J755-K755</f>
        <v/>
      </c>
    </row>
    <row r="756" ht="16.5" customHeight="1" s="28">
      <c r="A756" s="31" t="n">
        <v>755</v>
      </c>
      <c r="B756" s="27" t="n">
        <v>13</v>
      </c>
      <c r="C756" s="27" t="n">
        <v>14</v>
      </c>
      <c r="D756" s="27" t="n">
        <v>26</v>
      </c>
      <c r="E756" s="27" t="n">
        <v>28</v>
      </c>
      <c r="F756" s="27" t="n">
        <v>30</v>
      </c>
      <c r="G756" s="27" t="n">
        <v>36</v>
      </c>
      <c r="H756" s="27" t="n">
        <v>37</v>
      </c>
      <c r="J756" s="27">
        <f>SUMPRODUCT(COUNTIFS(확률!$J$2:$J$46, 원본!B756:G756, 확률!$M$2:$M$46, "&lt;=20"))</f>
        <v/>
      </c>
      <c r="K756" s="27">
        <f>SUMPRODUCT(COUNTIFS(확률!$J$2:$J$46, 원본!B756:G756, 확률!$M$2:$M$46, "&gt;=36"))</f>
        <v/>
      </c>
      <c r="L756" s="27">
        <f>6-J756-K756</f>
        <v/>
      </c>
    </row>
    <row r="757" ht="16.5" customHeight="1" s="28">
      <c r="A757" s="31" t="n">
        <v>756</v>
      </c>
      <c r="B757" s="27" t="n">
        <v>10</v>
      </c>
      <c r="C757" s="27" t="n">
        <v>14</v>
      </c>
      <c r="D757" s="27" t="n">
        <v>16</v>
      </c>
      <c r="E757" s="27" t="n">
        <v>18</v>
      </c>
      <c r="F757" s="27" t="n">
        <v>27</v>
      </c>
      <c r="G757" s="27" t="n">
        <v>28</v>
      </c>
      <c r="H757" s="27" t="n">
        <v>4</v>
      </c>
      <c r="J757" s="27">
        <f>SUMPRODUCT(COUNTIFS(확률!$J$2:$J$46, 원본!B757:G757, 확률!$M$2:$M$46, "&lt;=20"))</f>
        <v/>
      </c>
      <c r="K757" s="27">
        <f>SUMPRODUCT(COUNTIFS(확률!$J$2:$J$46, 원본!B757:G757, 확률!$M$2:$M$46, "&gt;=36"))</f>
        <v/>
      </c>
      <c r="L757" s="27">
        <f>6-J757-K757</f>
        <v/>
      </c>
    </row>
    <row r="758" ht="16.5" customHeight="1" s="28">
      <c r="A758" s="31" t="n">
        <v>757</v>
      </c>
      <c r="B758" s="27" t="n">
        <v>6</v>
      </c>
      <c r="C758" s="27" t="n">
        <v>7</v>
      </c>
      <c r="D758" s="27" t="n">
        <v>11</v>
      </c>
      <c r="E758" s="27" t="n">
        <v>17</v>
      </c>
      <c r="F758" s="27" t="n">
        <v>33</v>
      </c>
      <c r="G758" s="27" t="n">
        <v>44</v>
      </c>
      <c r="H758" s="27" t="n">
        <v>1</v>
      </c>
      <c r="J758" s="27">
        <f>SUMPRODUCT(COUNTIFS(확률!$J$2:$J$46, 원본!B758:G758, 확률!$M$2:$M$46, "&lt;=20"))</f>
        <v/>
      </c>
      <c r="K758" s="27">
        <f>SUMPRODUCT(COUNTIFS(확률!$J$2:$J$46, 원본!B758:G758, 확률!$M$2:$M$46, "&gt;=36"))</f>
        <v/>
      </c>
      <c r="L758" s="27">
        <f>6-J758-K758</f>
        <v/>
      </c>
    </row>
    <row r="759" ht="16.5" customHeight="1" s="28">
      <c r="A759" s="31" t="n">
        <v>758</v>
      </c>
      <c r="B759" s="27" t="n">
        <v>5</v>
      </c>
      <c r="C759" s="27" t="n">
        <v>9</v>
      </c>
      <c r="D759" s="27" t="n">
        <v>12</v>
      </c>
      <c r="E759" s="27" t="n">
        <v>30</v>
      </c>
      <c r="F759" s="27" t="n">
        <v>39</v>
      </c>
      <c r="G759" s="27" t="n">
        <v>43</v>
      </c>
      <c r="H759" s="27" t="n">
        <v>24</v>
      </c>
      <c r="J759" s="27">
        <f>SUMPRODUCT(COUNTIFS(확률!$J$2:$J$46, 원본!B759:G759, 확률!$M$2:$M$46, "&lt;=20"))</f>
        <v/>
      </c>
      <c r="K759" s="27">
        <f>SUMPRODUCT(COUNTIFS(확률!$J$2:$J$46, 원본!B759:G759, 확률!$M$2:$M$46, "&gt;=36"))</f>
        <v/>
      </c>
      <c r="L759" s="27">
        <f>6-J759-K759</f>
        <v/>
      </c>
    </row>
    <row r="760" ht="16.5" customHeight="1" s="28">
      <c r="A760" s="31" t="n">
        <v>759</v>
      </c>
      <c r="B760" s="27" t="n">
        <v>9</v>
      </c>
      <c r="C760" s="27" t="n">
        <v>33</v>
      </c>
      <c r="D760" s="27" t="n">
        <v>36</v>
      </c>
      <c r="E760" s="27" t="n">
        <v>40</v>
      </c>
      <c r="F760" s="27" t="n">
        <v>42</v>
      </c>
      <c r="G760" s="27" t="n">
        <v>43</v>
      </c>
      <c r="H760" s="27" t="n">
        <v>32</v>
      </c>
      <c r="J760" s="27">
        <f>SUMPRODUCT(COUNTIFS(확률!$J$2:$J$46, 원본!B760:G760, 확률!$M$2:$M$46, "&lt;=20"))</f>
        <v/>
      </c>
      <c r="K760" s="27">
        <f>SUMPRODUCT(COUNTIFS(확률!$J$2:$J$46, 원본!B760:G760, 확률!$M$2:$M$46, "&gt;=36"))</f>
        <v/>
      </c>
      <c r="L760" s="27">
        <f>6-J760-K760</f>
        <v/>
      </c>
    </row>
    <row r="761" ht="16.5" customHeight="1" s="28">
      <c r="A761" s="31" t="n">
        <v>760</v>
      </c>
      <c r="B761" s="27" t="n">
        <v>10</v>
      </c>
      <c r="C761" s="27" t="n">
        <v>22</v>
      </c>
      <c r="D761" s="27" t="n">
        <v>27</v>
      </c>
      <c r="E761" s="27" t="n">
        <v>31</v>
      </c>
      <c r="F761" s="27" t="n">
        <v>42</v>
      </c>
      <c r="G761" s="27" t="n">
        <v>43</v>
      </c>
      <c r="H761" s="27" t="n">
        <v>12</v>
      </c>
      <c r="J761" s="27">
        <f>SUMPRODUCT(COUNTIFS(확률!$J$2:$J$46, 원본!B761:G761, 확률!$M$2:$M$46, "&lt;=20"))</f>
        <v/>
      </c>
      <c r="K761" s="27">
        <f>SUMPRODUCT(COUNTIFS(확률!$J$2:$J$46, 원본!B761:G761, 확률!$M$2:$M$46, "&gt;=36"))</f>
        <v/>
      </c>
      <c r="L761" s="27">
        <f>6-J761-K761</f>
        <v/>
      </c>
    </row>
    <row r="762" ht="16.5" customHeight="1" s="28">
      <c r="A762" s="31" t="n">
        <v>761</v>
      </c>
      <c r="B762" s="27" t="n">
        <v>4</v>
      </c>
      <c r="C762" s="27" t="n">
        <v>7</v>
      </c>
      <c r="D762" s="27" t="n">
        <v>11</v>
      </c>
      <c r="E762" s="27" t="n">
        <v>24</v>
      </c>
      <c r="F762" s="27" t="n">
        <v>42</v>
      </c>
      <c r="G762" s="27" t="n">
        <v>45</v>
      </c>
      <c r="H762" s="27" t="n">
        <v>30</v>
      </c>
      <c r="J762" s="27">
        <f>SUMPRODUCT(COUNTIFS(확률!$J$2:$J$46, 원본!B762:G762, 확률!$M$2:$M$46, "&lt;=20"))</f>
        <v/>
      </c>
      <c r="K762" s="27">
        <f>SUMPRODUCT(COUNTIFS(확률!$J$2:$J$46, 원본!B762:G762, 확률!$M$2:$M$46, "&gt;=36"))</f>
        <v/>
      </c>
      <c r="L762" s="27">
        <f>6-J762-K762</f>
        <v/>
      </c>
    </row>
    <row r="763" ht="16.5" customHeight="1" s="28">
      <c r="A763" s="31" t="n">
        <v>762</v>
      </c>
      <c r="B763" s="27" t="n">
        <v>1</v>
      </c>
      <c r="C763" s="27" t="n">
        <v>3</v>
      </c>
      <c r="D763" s="27" t="n">
        <v>12</v>
      </c>
      <c r="E763" s="27" t="n">
        <v>21</v>
      </c>
      <c r="F763" s="27" t="n">
        <v>26</v>
      </c>
      <c r="G763" s="27" t="n">
        <v>41</v>
      </c>
      <c r="H763" s="27" t="n">
        <v>16</v>
      </c>
      <c r="J763" s="27">
        <f>SUMPRODUCT(COUNTIFS(확률!$J$2:$J$46, 원본!B763:G763, 확률!$M$2:$M$46, "&lt;=20"))</f>
        <v/>
      </c>
      <c r="K763" s="27">
        <f>SUMPRODUCT(COUNTIFS(확률!$J$2:$J$46, 원본!B763:G763, 확률!$M$2:$M$46, "&gt;=36"))</f>
        <v/>
      </c>
      <c r="L763" s="27">
        <f>6-J763-K763</f>
        <v/>
      </c>
    </row>
    <row r="764" ht="16.5" customHeight="1" s="28">
      <c r="A764" s="31" t="n">
        <v>763</v>
      </c>
      <c r="B764" s="27" t="n">
        <v>3</v>
      </c>
      <c r="C764" s="27" t="n">
        <v>8</v>
      </c>
      <c r="D764" s="27" t="n">
        <v>16</v>
      </c>
      <c r="E764" s="27" t="n">
        <v>32</v>
      </c>
      <c r="F764" s="27" t="n">
        <v>34</v>
      </c>
      <c r="G764" s="27" t="n">
        <v>43</v>
      </c>
      <c r="H764" s="27" t="n">
        <v>10</v>
      </c>
      <c r="J764" s="27">
        <f>SUMPRODUCT(COUNTIFS(확률!$J$2:$J$46, 원본!B764:G764, 확률!$M$2:$M$46, "&lt;=20"))</f>
        <v/>
      </c>
      <c r="K764" s="27">
        <f>SUMPRODUCT(COUNTIFS(확률!$J$2:$J$46, 원본!B764:G764, 확률!$M$2:$M$46, "&gt;=36"))</f>
        <v/>
      </c>
      <c r="L764" s="27">
        <f>6-J764-K764</f>
        <v/>
      </c>
    </row>
    <row r="765" ht="16.5" customHeight="1" s="28">
      <c r="A765" s="31" t="n">
        <v>764</v>
      </c>
      <c r="B765" s="27" t="n">
        <v>7</v>
      </c>
      <c r="C765" s="27" t="n">
        <v>22</v>
      </c>
      <c r="D765" s="27" t="n">
        <v>24</v>
      </c>
      <c r="E765" s="27" t="n">
        <v>31</v>
      </c>
      <c r="F765" s="27" t="n">
        <v>34</v>
      </c>
      <c r="G765" s="27" t="n">
        <v>36</v>
      </c>
      <c r="H765" s="27" t="n">
        <v>15</v>
      </c>
      <c r="J765" s="27">
        <f>SUMPRODUCT(COUNTIFS(확률!$J$2:$J$46, 원본!B765:G765, 확률!$M$2:$M$46, "&lt;=20"))</f>
        <v/>
      </c>
      <c r="K765" s="27">
        <f>SUMPRODUCT(COUNTIFS(확률!$J$2:$J$46, 원본!B765:G765, 확률!$M$2:$M$46, "&gt;=36"))</f>
        <v/>
      </c>
      <c r="L765" s="27">
        <f>6-J765-K765</f>
        <v/>
      </c>
    </row>
    <row r="766" ht="16.5" customHeight="1" s="28">
      <c r="A766" s="31" t="n">
        <v>765</v>
      </c>
      <c r="B766" s="27" t="n">
        <v>1</v>
      </c>
      <c r="C766" s="27" t="n">
        <v>3</v>
      </c>
      <c r="D766" s="27" t="n">
        <v>8</v>
      </c>
      <c r="E766" s="27" t="n">
        <v>12</v>
      </c>
      <c r="F766" s="27" t="n">
        <v>42</v>
      </c>
      <c r="G766" s="27" t="n">
        <v>43</v>
      </c>
      <c r="H766" s="27" t="n">
        <v>33</v>
      </c>
      <c r="J766" s="27">
        <f>SUMPRODUCT(COUNTIFS(확률!$J$2:$J$46, 원본!B766:G766, 확률!$M$2:$M$46, "&lt;=20"))</f>
        <v/>
      </c>
      <c r="K766" s="27">
        <f>SUMPRODUCT(COUNTIFS(확률!$J$2:$J$46, 원본!B766:G766, 확률!$M$2:$M$46, "&gt;=36"))</f>
        <v/>
      </c>
      <c r="L766" s="27">
        <f>6-J766-K766</f>
        <v/>
      </c>
    </row>
    <row r="767" ht="16.5" customHeight="1" s="28">
      <c r="A767" s="31" t="n">
        <v>766</v>
      </c>
      <c r="B767" s="27" t="n">
        <v>9</v>
      </c>
      <c r="C767" s="27" t="n">
        <v>30</v>
      </c>
      <c r="D767" s="27" t="n">
        <v>34</v>
      </c>
      <c r="E767" s="27" t="n">
        <v>35</v>
      </c>
      <c r="F767" s="27" t="n">
        <v>39</v>
      </c>
      <c r="G767" s="27" t="n">
        <v>41</v>
      </c>
      <c r="H767" s="27" t="n">
        <v>21</v>
      </c>
      <c r="J767" s="27">
        <f>SUMPRODUCT(COUNTIFS(확률!$J$2:$J$46, 원본!B767:G767, 확률!$M$2:$M$46, "&lt;=20"))</f>
        <v/>
      </c>
      <c r="K767" s="27">
        <f>SUMPRODUCT(COUNTIFS(확률!$J$2:$J$46, 원본!B767:G767, 확률!$M$2:$M$46, "&gt;=36"))</f>
        <v/>
      </c>
      <c r="L767" s="27">
        <f>6-J767-K767</f>
        <v/>
      </c>
    </row>
    <row r="768" ht="16.5" customHeight="1" s="28">
      <c r="A768" s="31" t="n">
        <v>767</v>
      </c>
      <c r="B768" s="27" t="n">
        <v>5</v>
      </c>
      <c r="C768" s="27" t="n">
        <v>15</v>
      </c>
      <c r="D768" s="27" t="n">
        <v>20</v>
      </c>
      <c r="E768" s="27" t="n">
        <v>31</v>
      </c>
      <c r="F768" s="27" t="n">
        <v>34</v>
      </c>
      <c r="G768" s="27" t="n">
        <v>42</v>
      </c>
      <c r="H768" s="27" t="n">
        <v>22</v>
      </c>
      <c r="J768" s="27">
        <f>SUMPRODUCT(COUNTIFS(확률!$J$2:$J$46, 원본!B768:G768, 확률!$M$2:$M$46, "&lt;=20"))</f>
        <v/>
      </c>
      <c r="K768" s="27">
        <f>SUMPRODUCT(COUNTIFS(확률!$J$2:$J$46, 원본!B768:G768, 확률!$M$2:$M$46, "&gt;=36"))</f>
        <v/>
      </c>
      <c r="L768" s="27">
        <f>6-J768-K768</f>
        <v/>
      </c>
    </row>
    <row r="769" ht="16.5" customHeight="1" s="28">
      <c r="A769" s="31" t="n">
        <v>768</v>
      </c>
      <c r="B769" s="27" t="n">
        <v>7</v>
      </c>
      <c r="C769" s="27" t="n">
        <v>27</v>
      </c>
      <c r="D769" s="27" t="n">
        <v>29</v>
      </c>
      <c r="E769" s="27" t="n">
        <v>30</v>
      </c>
      <c r="F769" s="27" t="n">
        <v>38</v>
      </c>
      <c r="G769" s="27" t="n">
        <v>44</v>
      </c>
      <c r="H769" s="27" t="n">
        <v>4</v>
      </c>
      <c r="J769" s="27">
        <f>SUMPRODUCT(COUNTIFS(확률!$J$2:$J$46, 원본!B769:G769, 확률!$M$2:$M$46, "&lt;=20"))</f>
        <v/>
      </c>
      <c r="K769" s="27">
        <f>SUMPRODUCT(COUNTIFS(확률!$J$2:$J$46, 원본!B769:G769, 확률!$M$2:$M$46, "&gt;=36"))</f>
        <v/>
      </c>
      <c r="L769" s="27">
        <f>6-J769-K769</f>
        <v/>
      </c>
    </row>
    <row r="770" ht="16.5" customHeight="1" s="28">
      <c r="A770" s="31" t="n">
        <v>769</v>
      </c>
      <c r="B770" s="27" t="n">
        <v>5</v>
      </c>
      <c r="C770" s="27" t="n">
        <v>7</v>
      </c>
      <c r="D770" s="27" t="n">
        <v>11</v>
      </c>
      <c r="E770" s="27" t="n">
        <v>16</v>
      </c>
      <c r="F770" s="27" t="n">
        <v>41</v>
      </c>
      <c r="G770" s="27" t="n">
        <v>45</v>
      </c>
      <c r="H770" s="27" t="n">
        <v>4</v>
      </c>
      <c r="J770" s="27">
        <f>SUMPRODUCT(COUNTIFS(확률!$J$2:$J$46, 원본!B770:G770, 확률!$M$2:$M$46, "&lt;=20"))</f>
        <v/>
      </c>
      <c r="K770" s="27">
        <f>SUMPRODUCT(COUNTIFS(확률!$J$2:$J$46, 원본!B770:G770, 확률!$M$2:$M$46, "&gt;=36"))</f>
        <v/>
      </c>
      <c r="L770" s="27">
        <f>6-J770-K770</f>
        <v/>
      </c>
    </row>
    <row r="771" ht="16.5" customHeight="1" s="28">
      <c r="A771" s="31" t="n">
        <v>770</v>
      </c>
      <c r="B771" s="27" t="n">
        <v>1</v>
      </c>
      <c r="C771" s="27" t="n">
        <v>9</v>
      </c>
      <c r="D771" s="27" t="n">
        <v>12</v>
      </c>
      <c r="E771" s="27" t="n">
        <v>23</v>
      </c>
      <c r="F771" s="27" t="n">
        <v>39</v>
      </c>
      <c r="G771" s="27" t="n">
        <v>43</v>
      </c>
      <c r="H771" s="27" t="n">
        <v>34</v>
      </c>
      <c r="J771" s="27">
        <f>SUMPRODUCT(COUNTIFS(확률!$J$2:$J$46, 원본!B771:G771, 확률!$M$2:$M$46, "&lt;=20"))</f>
        <v/>
      </c>
      <c r="K771" s="27">
        <f>SUMPRODUCT(COUNTIFS(확률!$J$2:$J$46, 원본!B771:G771, 확률!$M$2:$M$46, "&gt;=36"))</f>
        <v/>
      </c>
      <c r="L771" s="27">
        <f>6-J771-K771</f>
        <v/>
      </c>
    </row>
    <row r="772" ht="16.5" customHeight="1" s="28">
      <c r="A772" s="31" t="n">
        <v>771</v>
      </c>
      <c r="B772" s="27" t="n">
        <v>6</v>
      </c>
      <c r="C772" s="27" t="n">
        <v>10</v>
      </c>
      <c r="D772" s="27" t="n">
        <v>17</v>
      </c>
      <c r="E772" s="27" t="n">
        <v>18</v>
      </c>
      <c r="F772" s="27" t="n">
        <v>21</v>
      </c>
      <c r="G772" s="27" t="n">
        <v>29</v>
      </c>
      <c r="H772" s="27" t="n">
        <v>30</v>
      </c>
      <c r="J772" s="27">
        <f>SUMPRODUCT(COUNTIFS(확률!$J$2:$J$46, 원본!B772:G772, 확률!$M$2:$M$46, "&lt;=20"))</f>
        <v/>
      </c>
      <c r="K772" s="27">
        <f>SUMPRODUCT(COUNTIFS(확률!$J$2:$J$46, 원본!B772:G772, 확률!$M$2:$M$46, "&gt;=36"))</f>
        <v/>
      </c>
      <c r="L772" s="27">
        <f>6-J772-K772</f>
        <v/>
      </c>
    </row>
    <row r="773" ht="16.5" customHeight="1" s="28">
      <c r="A773" s="31" t="n">
        <v>772</v>
      </c>
      <c r="B773" s="27" t="n">
        <v>5</v>
      </c>
      <c r="C773" s="27" t="n">
        <v>6</v>
      </c>
      <c r="D773" s="27" t="n">
        <v>11</v>
      </c>
      <c r="E773" s="27" t="n">
        <v>14</v>
      </c>
      <c r="F773" s="27" t="n">
        <v>21</v>
      </c>
      <c r="G773" s="27" t="n">
        <v>41</v>
      </c>
      <c r="H773" s="27" t="n">
        <v>32</v>
      </c>
      <c r="J773" s="27">
        <f>SUMPRODUCT(COUNTIFS(확률!$J$2:$J$46, 원본!B773:G773, 확률!$M$2:$M$46, "&lt;=20"))</f>
        <v/>
      </c>
      <c r="K773" s="27">
        <f>SUMPRODUCT(COUNTIFS(확률!$J$2:$J$46, 원본!B773:G773, 확률!$M$2:$M$46, "&gt;=36"))</f>
        <v/>
      </c>
      <c r="L773" s="27">
        <f>6-J773-K773</f>
        <v/>
      </c>
    </row>
    <row r="774" ht="16.5" customHeight="1" s="28">
      <c r="A774" s="31" t="n">
        <v>773</v>
      </c>
      <c r="B774" s="27" t="n">
        <v>8</v>
      </c>
      <c r="C774" s="27" t="n">
        <v>12</v>
      </c>
      <c r="D774" s="27" t="n">
        <v>19</v>
      </c>
      <c r="E774" s="27" t="n">
        <v>21</v>
      </c>
      <c r="F774" s="27" t="n">
        <v>31</v>
      </c>
      <c r="G774" s="27" t="n">
        <v>35</v>
      </c>
      <c r="H774" s="27" t="n">
        <v>44</v>
      </c>
      <c r="J774" s="27">
        <f>SUMPRODUCT(COUNTIFS(확률!$J$2:$J$46, 원본!B774:G774, 확률!$M$2:$M$46, "&lt;=20"))</f>
        <v/>
      </c>
      <c r="K774" s="27">
        <f>SUMPRODUCT(COUNTIFS(확률!$J$2:$J$46, 원본!B774:G774, 확률!$M$2:$M$46, "&gt;=36"))</f>
        <v/>
      </c>
      <c r="L774" s="27">
        <f>6-J774-K774</f>
        <v/>
      </c>
    </row>
    <row r="775" ht="16.5" customHeight="1" s="28">
      <c r="A775" s="31" t="n">
        <v>774</v>
      </c>
      <c r="B775" s="27" t="n">
        <v>12</v>
      </c>
      <c r="C775" s="27" t="n">
        <v>15</v>
      </c>
      <c r="D775" s="27" t="n">
        <v>18</v>
      </c>
      <c r="E775" s="27" t="n">
        <v>28</v>
      </c>
      <c r="F775" s="27" t="n">
        <v>34</v>
      </c>
      <c r="G775" s="27" t="n">
        <v>42</v>
      </c>
      <c r="H775" s="27" t="n">
        <v>9</v>
      </c>
      <c r="J775" s="27">
        <f>SUMPRODUCT(COUNTIFS(확률!$J$2:$J$46, 원본!B775:G775, 확률!$M$2:$M$46, "&lt;=20"))</f>
        <v/>
      </c>
      <c r="K775" s="27">
        <f>SUMPRODUCT(COUNTIFS(확률!$J$2:$J$46, 원본!B775:G775, 확률!$M$2:$M$46, "&gt;=36"))</f>
        <v/>
      </c>
      <c r="L775" s="27">
        <f>6-J775-K775</f>
        <v/>
      </c>
    </row>
    <row r="776" ht="16.5" customHeight="1" s="28">
      <c r="A776" s="31" t="n">
        <v>775</v>
      </c>
      <c r="B776" s="27" t="n">
        <v>11</v>
      </c>
      <c r="C776" s="27" t="n">
        <v>12</v>
      </c>
      <c r="D776" s="27" t="n">
        <v>29</v>
      </c>
      <c r="E776" s="27" t="n">
        <v>33</v>
      </c>
      <c r="F776" s="27" t="n">
        <v>38</v>
      </c>
      <c r="G776" s="27" t="n">
        <v>42</v>
      </c>
      <c r="H776" s="27" t="n">
        <v>17</v>
      </c>
      <c r="J776" s="27">
        <f>SUMPRODUCT(COUNTIFS(확률!$J$2:$J$46, 원본!B776:G776, 확률!$M$2:$M$46, "&lt;=20"))</f>
        <v/>
      </c>
      <c r="K776" s="27">
        <f>SUMPRODUCT(COUNTIFS(확률!$J$2:$J$46, 원본!B776:G776, 확률!$M$2:$M$46, "&gt;=36"))</f>
        <v/>
      </c>
      <c r="L776" s="27">
        <f>6-J776-K776</f>
        <v/>
      </c>
    </row>
    <row r="777" ht="16.5" customHeight="1" s="28">
      <c r="A777" s="31" t="n">
        <v>776</v>
      </c>
      <c r="B777" s="27" t="n">
        <v>8</v>
      </c>
      <c r="C777" s="27" t="n">
        <v>9</v>
      </c>
      <c r="D777" s="27" t="n">
        <v>18</v>
      </c>
      <c r="E777" s="27" t="n">
        <v>21</v>
      </c>
      <c r="F777" s="27" t="n">
        <v>28</v>
      </c>
      <c r="G777" s="27" t="n">
        <v>40</v>
      </c>
      <c r="H777" s="27" t="n">
        <v>20</v>
      </c>
      <c r="J777" s="27">
        <f>SUMPRODUCT(COUNTIFS(확률!$J$2:$J$46, 원본!B777:G777, 확률!$M$2:$M$46, "&lt;=20"))</f>
        <v/>
      </c>
      <c r="K777" s="27">
        <f>SUMPRODUCT(COUNTIFS(확률!$J$2:$J$46, 원본!B777:G777, 확률!$M$2:$M$46, "&gt;=36"))</f>
        <v/>
      </c>
      <c r="L777" s="27">
        <f>6-J777-K777</f>
        <v/>
      </c>
    </row>
    <row r="778" ht="16.5" customHeight="1" s="28">
      <c r="A778" s="31" t="n">
        <v>777</v>
      </c>
      <c r="B778" s="27" t="n">
        <v>6</v>
      </c>
      <c r="C778" s="27" t="n">
        <v>12</v>
      </c>
      <c r="D778" s="27" t="n">
        <v>17</v>
      </c>
      <c r="E778" s="27" t="n">
        <v>21</v>
      </c>
      <c r="F778" s="27" t="n">
        <v>34</v>
      </c>
      <c r="G778" s="27" t="n">
        <v>37</v>
      </c>
      <c r="H778" s="27" t="n">
        <v>18</v>
      </c>
      <c r="J778" s="27">
        <f>SUMPRODUCT(COUNTIFS(확률!$J$2:$J$46, 원본!B778:G778, 확률!$M$2:$M$46, "&lt;=20"))</f>
        <v/>
      </c>
      <c r="K778" s="27">
        <f>SUMPRODUCT(COUNTIFS(확률!$J$2:$J$46, 원본!B778:G778, 확률!$M$2:$M$46, "&gt;=36"))</f>
        <v/>
      </c>
      <c r="L778" s="27">
        <f>6-J778-K778</f>
        <v/>
      </c>
    </row>
    <row r="779" ht="16.5" customHeight="1" s="28">
      <c r="A779" s="31" t="n">
        <v>778</v>
      </c>
      <c r="B779" s="27" t="n">
        <v>6</v>
      </c>
      <c r="C779" s="27" t="n">
        <v>21</v>
      </c>
      <c r="D779" s="27" t="n">
        <v>35</v>
      </c>
      <c r="E779" s="27" t="n">
        <v>36</v>
      </c>
      <c r="F779" s="27" t="n">
        <v>37</v>
      </c>
      <c r="G779" s="27" t="n">
        <v>41</v>
      </c>
      <c r="H779" s="27" t="n">
        <v>11</v>
      </c>
      <c r="J779" s="27">
        <f>SUMPRODUCT(COUNTIFS(확률!$J$2:$J$46, 원본!B779:G779, 확률!$M$2:$M$46, "&lt;=20"))</f>
        <v/>
      </c>
      <c r="K779" s="27">
        <f>SUMPRODUCT(COUNTIFS(확률!$J$2:$J$46, 원본!B779:G779, 확률!$M$2:$M$46, "&gt;=36"))</f>
        <v/>
      </c>
      <c r="L779" s="27">
        <f>6-J779-K779</f>
        <v/>
      </c>
    </row>
    <row r="780" ht="16.5" customHeight="1" s="28">
      <c r="A780" s="31" t="n">
        <v>779</v>
      </c>
      <c r="B780" s="27" t="n">
        <v>6</v>
      </c>
      <c r="C780" s="27" t="n">
        <v>12</v>
      </c>
      <c r="D780" s="27" t="n">
        <v>19</v>
      </c>
      <c r="E780" s="27" t="n">
        <v>24</v>
      </c>
      <c r="F780" s="27" t="n">
        <v>34</v>
      </c>
      <c r="G780" s="27" t="n">
        <v>41</v>
      </c>
      <c r="H780" s="27" t="n">
        <v>4</v>
      </c>
      <c r="J780" s="27">
        <f>SUMPRODUCT(COUNTIFS(확률!$J$2:$J$46, 원본!B780:G780, 확률!$M$2:$M$46, "&lt;=20"))</f>
        <v/>
      </c>
      <c r="K780" s="27">
        <f>SUMPRODUCT(COUNTIFS(확률!$J$2:$J$46, 원본!B780:G780, 확률!$M$2:$M$46, "&gt;=36"))</f>
        <v/>
      </c>
      <c r="L780" s="27">
        <f>6-J780-K780</f>
        <v/>
      </c>
    </row>
    <row r="781" ht="16.5" customHeight="1" s="28">
      <c r="A781" s="31" t="n">
        <v>780</v>
      </c>
      <c r="B781" s="27" t="n">
        <v>15</v>
      </c>
      <c r="C781" s="27" t="n">
        <v>17</v>
      </c>
      <c r="D781" s="27" t="n">
        <v>19</v>
      </c>
      <c r="E781" s="27" t="n">
        <v>21</v>
      </c>
      <c r="F781" s="27" t="n">
        <v>27</v>
      </c>
      <c r="G781" s="27" t="n">
        <v>45</v>
      </c>
      <c r="H781" s="27" t="n">
        <v>16</v>
      </c>
      <c r="J781" s="27">
        <f>SUMPRODUCT(COUNTIFS(확률!$J$2:$J$46, 원본!B781:G781, 확률!$M$2:$M$46, "&lt;=20"))</f>
        <v/>
      </c>
      <c r="K781" s="27">
        <f>SUMPRODUCT(COUNTIFS(확률!$J$2:$J$46, 원본!B781:G781, 확률!$M$2:$M$46, "&gt;=36"))</f>
        <v/>
      </c>
      <c r="L781" s="27">
        <f>6-J781-K781</f>
        <v/>
      </c>
    </row>
    <row r="782" ht="16.5" customHeight="1" s="28">
      <c r="A782" s="31" t="n">
        <v>781</v>
      </c>
      <c r="B782" s="27" t="n">
        <v>11</v>
      </c>
      <c r="C782" s="27" t="n">
        <v>16</v>
      </c>
      <c r="D782" s="27" t="n">
        <v>18</v>
      </c>
      <c r="E782" s="27" t="n">
        <v>19</v>
      </c>
      <c r="F782" s="27" t="n">
        <v>24</v>
      </c>
      <c r="G782" s="27" t="n">
        <v>39</v>
      </c>
      <c r="H782" s="27" t="n">
        <v>43</v>
      </c>
      <c r="J782" s="27">
        <f>SUMPRODUCT(COUNTIFS(확률!$J$2:$J$46, 원본!B782:G782, 확률!$M$2:$M$46, "&lt;=20"))</f>
        <v/>
      </c>
      <c r="K782" s="27">
        <f>SUMPRODUCT(COUNTIFS(확률!$J$2:$J$46, 원본!B782:G782, 확률!$M$2:$M$46, "&gt;=36"))</f>
        <v/>
      </c>
      <c r="L782" s="27">
        <f>6-J782-K782</f>
        <v/>
      </c>
    </row>
    <row r="783" ht="16.5" customHeight="1" s="28">
      <c r="A783" s="31" t="n">
        <v>782</v>
      </c>
      <c r="B783" s="27" t="n">
        <v>6</v>
      </c>
      <c r="C783" s="27" t="n">
        <v>18</v>
      </c>
      <c r="D783" s="27" t="n">
        <v>31</v>
      </c>
      <c r="E783" s="27" t="n">
        <v>34</v>
      </c>
      <c r="F783" s="27" t="n">
        <v>38</v>
      </c>
      <c r="G783" s="27" t="n">
        <v>45</v>
      </c>
      <c r="H783" s="27" t="n">
        <v>20</v>
      </c>
      <c r="J783" s="27">
        <f>SUMPRODUCT(COUNTIFS(확률!$J$2:$J$46, 원본!B783:G783, 확률!$M$2:$M$46, "&lt;=20"))</f>
        <v/>
      </c>
      <c r="K783" s="27">
        <f>SUMPRODUCT(COUNTIFS(확률!$J$2:$J$46, 원본!B783:G783, 확률!$M$2:$M$46, "&gt;=36"))</f>
        <v/>
      </c>
      <c r="L783" s="27">
        <f>6-J783-K783</f>
        <v/>
      </c>
    </row>
    <row r="784" ht="16.5" customHeight="1" s="28">
      <c r="A784" s="31" t="n">
        <v>783</v>
      </c>
      <c r="B784" s="27" t="n">
        <v>14</v>
      </c>
      <c r="C784" s="27" t="n">
        <v>15</v>
      </c>
      <c r="D784" s="27" t="n">
        <v>16</v>
      </c>
      <c r="E784" s="27" t="n">
        <v>17</v>
      </c>
      <c r="F784" s="27" t="n">
        <v>38</v>
      </c>
      <c r="G784" s="27" t="n">
        <v>45</v>
      </c>
      <c r="H784" s="27" t="n">
        <v>36</v>
      </c>
      <c r="J784" s="27">
        <f>SUMPRODUCT(COUNTIFS(확률!$J$2:$J$46, 원본!B784:G784, 확률!$M$2:$M$46, "&lt;=20"))</f>
        <v/>
      </c>
      <c r="K784" s="27">
        <f>SUMPRODUCT(COUNTIFS(확률!$J$2:$J$46, 원본!B784:G784, 확률!$M$2:$M$46, "&gt;=36"))</f>
        <v/>
      </c>
      <c r="L784" s="27">
        <f>6-J784-K784</f>
        <v/>
      </c>
    </row>
    <row r="785" ht="16.5" customHeight="1" s="28">
      <c r="A785" s="31" t="n">
        <v>784</v>
      </c>
      <c r="B785" s="27" t="n">
        <v>3</v>
      </c>
      <c r="C785" s="27" t="n">
        <v>10</v>
      </c>
      <c r="D785" s="27" t="n">
        <v>23</v>
      </c>
      <c r="E785" s="27" t="n">
        <v>24</v>
      </c>
      <c r="F785" s="27" t="n">
        <v>31</v>
      </c>
      <c r="G785" s="27" t="n">
        <v>39</v>
      </c>
      <c r="H785" s="27" t="n">
        <v>22</v>
      </c>
      <c r="J785" s="27">
        <f>SUMPRODUCT(COUNTIFS(확률!$J$2:$J$46, 원본!B785:G785, 확률!$M$2:$M$46, "&lt;=20"))</f>
        <v/>
      </c>
      <c r="K785" s="27">
        <f>SUMPRODUCT(COUNTIFS(확률!$J$2:$J$46, 원본!B785:G785, 확률!$M$2:$M$46, "&gt;=36"))</f>
        <v/>
      </c>
      <c r="L785" s="27">
        <f>6-J785-K785</f>
        <v/>
      </c>
    </row>
    <row r="786" ht="16.5" customHeight="1" s="28">
      <c r="A786" s="31" t="n">
        <v>785</v>
      </c>
      <c r="B786" s="27" t="n">
        <v>4</v>
      </c>
      <c r="C786" s="27" t="n">
        <v>6</v>
      </c>
      <c r="D786" s="27" t="n">
        <v>15</v>
      </c>
      <c r="E786" s="27" t="n">
        <v>25</v>
      </c>
      <c r="F786" s="27" t="n">
        <v>26</v>
      </c>
      <c r="G786" s="27" t="n">
        <v>33</v>
      </c>
      <c r="H786" s="27" t="n">
        <v>40</v>
      </c>
      <c r="J786" s="27">
        <f>SUMPRODUCT(COUNTIFS(확률!$J$2:$J$46, 원본!B786:G786, 확률!$M$2:$M$46, "&lt;=20"))</f>
        <v/>
      </c>
      <c r="K786" s="27">
        <f>SUMPRODUCT(COUNTIFS(확률!$J$2:$J$46, 원본!B786:G786, 확률!$M$2:$M$46, "&gt;=36"))</f>
        <v/>
      </c>
      <c r="L786" s="27">
        <f>6-J786-K786</f>
        <v/>
      </c>
    </row>
    <row r="787" ht="16.5" customHeight="1" s="28">
      <c r="A787" s="31" t="n">
        <v>786</v>
      </c>
      <c r="B787" s="27" t="n">
        <v>12</v>
      </c>
      <c r="C787" s="27" t="n">
        <v>15</v>
      </c>
      <c r="D787" s="27" t="n">
        <v>16</v>
      </c>
      <c r="E787" s="27" t="n">
        <v>20</v>
      </c>
      <c r="F787" s="27" t="n">
        <v>24</v>
      </c>
      <c r="G787" s="27" t="n">
        <v>30</v>
      </c>
      <c r="H787" s="27" t="n">
        <v>38</v>
      </c>
      <c r="J787" s="27">
        <f>SUMPRODUCT(COUNTIFS(확률!$J$2:$J$46, 원본!B787:G787, 확률!$M$2:$M$46, "&lt;=20"))</f>
        <v/>
      </c>
      <c r="K787" s="27">
        <f>SUMPRODUCT(COUNTIFS(확률!$J$2:$J$46, 원본!B787:G787, 확률!$M$2:$M$46, "&gt;=36"))</f>
        <v/>
      </c>
      <c r="L787" s="27">
        <f>6-J787-K787</f>
        <v/>
      </c>
    </row>
    <row r="788" ht="16.5" customHeight="1" s="28">
      <c r="A788" s="31" t="n">
        <v>787</v>
      </c>
      <c r="B788" s="27" t="n">
        <v>5</v>
      </c>
      <c r="C788" s="27" t="n">
        <v>6</v>
      </c>
      <c r="D788" s="27" t="n">
        <v>13</v>
      </c>
      <c r="E788" s="27" t="n">
        <v>16</v>
      </c>
      <c r="F788" s="27" t="n">
        <v>27</v>
      </c>
      <c r="G788" s="27" t="n">
        <v>28</v>
      </c>
      <c r="H788" s="27" t="n">
        <v>9</v>
      </c>
      <c r="J788" s="27">
        <f>SUMPRODUCT(COUNTIFS(확률!$J$2:$J$46, 원본!B788:G788, 확률!$M$2:$M$46, "&lt;=20"))</f>
        <v/>
      </c>
      <c r="K788" s="27">
        <f>SUMPRODUCT(COUNTIFS(확률!$J$2:$J$46, 원본!B788:G788, 확률!$M$2:$M$46, "&gt;=36"))</f>
        <v/>
      </c>
      <c r="L788" s="27">
        <f>6-J788-K788</f>
        <v/>
      </c>
    </row>
    <row r="789" ht="16.5" customHeight="1" s="28">
      <c r="A789" s="31" t="n">
        <v>788</v>
      </c>
      <c r="B789" s="27" t="n">
        <v>2</v>
      </c>
      <c r="C789" s="27" t="n">
        <v>10</v>
      </c>
      <c r="D789" s="27" t="n">
        <v>11</v>
      </c>
      <c r="E789" s="27" t="n">
        <v>19</v>
      </c>
      <c r="F789" s="27" t="n">
        <v>35</v>
      </c>
      <c r="G789" s="27" t="n">
        <v>39</v>
      </c>
      <c r="H789" s="27" t="n">
        <v>29</v>
      </c>
      <c r="J789" s="27">
        <f>SUMPRODUCT(COUNTIFS(확률!$J$2:$J$46, 원본!B789:G789, 확률!$M$2:$M$46, "&lt;=20"))</f>
        <v/>
      </c>
      <c r="K789" s="27">
        <f>SUMPRODUCT(COUNTIFS(확률!$J$2:$J$46, 원본!B789:G789, 확률!$M$2:$M$46, "&gt;=36"))</f>
        <v/>
      </c>
      <c r="L789" s="27">
        <f>6-J789-K789</f>
        <v/>
      </c>
    </row>
    <row r="790" ht="16.5" customHeight="1" s="28">
      <c r="A790" s="31" t="n">
        <v>789</v>
      </c>
      <c r="B790" s="27" t="n">
        <v>2</v>
      </c>
      <c r="C790" s="27" t="n">
        <v>6</v>
      </c>
      <c r="D790" s="27" t="n">
        <v>7</v>
      </c>
      <c r="E790" s="27" t="n">
        <v>12</v>
      </c>
      <c r="F790" s="27" t="n">
        <v>19</v>
      </c>
      <c r="G790" s="27" t="n">
        <v>45</v>
      </c>
      <c r="H790" s="27" t="n">
        <v>38</v>
      </c>
      <c r="J790" s="27">
        <f>SUMPRODUCT(COUNTIFS(확률!$J$2:$J$46, 원본!B790:G790, 확률!$M$2:$M$46, "&lt;=20"))</f>
        <v/>
      </c>
      <c r="K790" s="27">
        <f>SUMPRODUCT(COUNTIFS(확률!$J$2:$J$46, 원본!B790:G790, 확률!$M$2:$M$46, "&gt;=36"))</f>
        <v/>
      </c>
      <c r="L790" s="27">
        <f>6-J790-K790</f>
        <v/>
      </c>
    </row>
    <row r="791" ht="16.5" customHeight="1" s="28">
      <c r="A791" s="31" t="n">
        <v>790</v>
      </c>
      <c r="B791" s="27" t="n">
        <v>3</v>
      </c>
      <c r="C791" s="27" t="n">
        <v>8</v>
      </c>
      <c r="D791" s="27" t="n">
        <v>19</v>
      </c>
      <c r="E791" s="27" t="n">
        <v>27</v>
      </c>
      <c r="F791" s="27" t="n">
        <v>30</v>
      </c>
      <c r="G791" s="27" t="n">
        <v>41</v>
      </c>
      <c r="H791" s="27" t="n">
        <v>12</v>
      </c>
      <c r="J791" s="27">
        <f>SUMPRODUCT(COUNTIFS(확률!$J$2:$J$46, 원본!B791:G791, 확률!$M$2:$M$46, "&lt;=20"))</f>
        <v/>
      </c>
      <c r="K791" s="27">
        <f>SUMPRODUCT(COUNTIFS(확률!$J$2:$J$46, 원본!B791:G791, 확률!$M$2:$M$46, "&gt;=36"))</f>
        <v/>
      </c>
      <c r="L791" s="27">
        <f>6-J791-K791</f>
        <v/>
      </c>
    </row>
    <row r="792" ht="16.5" customHeight="1" s="28">
      <c r="A792" s="31" t="n">
        <v>791</v>
      </c>
      <c r="B792" s="27" t="n">
        <v>2</v>
      </c>
      <c r="C792" s="27" t="n">
        <v>10</v>
      </c>
      <c r="D792" s="27" t="n">
        <v>12</v>
      </c>
      <c r="E792" s="27" t="n">
        <v>31</v>
      </c>
      <c r="F792" s="27" t="n">
        <v>33</v>
      </c>
      <c r="G792" s="27" t="n">
        <v>42</v>
      </c>
      <c r="H792" s="27" t="n">
        <v>32</v>
      </c>
      <c r="J792" s="27">
        <f>SUMPRODUCT(COUNTIFS(확률!$J$2:$J$46, 원본!B792:G792, 확률!$M$2:$M$46, "&lt;=20"))</f>
        <v/>
      </c>
      <c r="K792" s="27">
        <f>SUMPRODUCT(COUNTIFS(확률!$J$2:$J$46, 원본!B792:G792, 확률!$M$2:$M$46, "&gt;=36"))</f>
        <v/>
      </c>
      <c r="L792" s="27">
        <f>6-J792-K792</f>
        <v/>
      </c>
    </row>
    <row r="793" ht="16.5" customHeight="1" s="28">
      <c r="A793" s="31" t="n">
        <v>792</v>
      </c>
      <c r="B793" s="27" t="n">
        <v>2</v>
      </c>
      <c r="C793" s="27" t="n">
        <v>7</v>
      </c>
      <c r="D793" s="27" t="n">
        <v>19</v>
      </c>
      <c r="E793" s="27" t="n">
        <v>25</v>
      </c>
      <c r="F793" s="27" t="n">
        <v>29</v>
      </c>
      <c r="G793" s="27" t="n">
        <v>36</v>
      </c>
      <c r="H793" s="27" t="n">
        <v>16</v>
      </c>
      <c r="J793" s="27">
        <f>SUMPRODUCT(COUNTIFS(확률!$J$2:$J$46, 원본!B793:G793, 확률!$M$2:$M$46, "&lt;=20"))</f>
        <v/>
      </c>
      <c r="K793" s="27">
        <f>SUMPRODUCT(COUNTIFS(확률!$J$2:$J$46, 원본!B793:G793, 확률!$M$2:$M$46, "&gt;=36"))</f>
        <v/>
      </c>
      <c r="L793" s="27">
        <f>6-J793-K793</f>
        <v/>
      </c>
    </row>
    <row r="794" ht="16.5" customHeight="1" s="28">
      <c r="A794" s="31" t="n">
        <v>793</v>
      </c>
      <c r="B794" s="27" t="n">
        <v>10</v>
      </c>
      <c r="C794" s="27" t="n">
        <v>15</v>
      </c>
      <c r="D794" s="27" t="n">
        <v>21</v>
      </c>
      <c r="E794" s="27" t="n">
        <v>35</v>
      </c>
      <c r="F794" s="27" t="n">
        <v>38</v>
      </c>
      <c r="G794" s="27" t="n">
        <v>43</v>
      </c>
      <c r="H794" s="27" t="n">
        <v>31</v>
      </c>
      <c r="J794" s="27">
        <f>SUMPRODUCT(COUNTIFS(확률!$J$2:$J$46, 원본!B794:G794, 확률!$M$2:$M$46, "&lt;=20"))</f>
        <v/>
      </c>
      <c r="K794" s="27">
        <f>SUMPRODUCT(COUNTIFS(확률!$J$2:$J$46, 원본!B794:G794, 확률!$M$2:$M$46, "&gt;=36"))</f>
        <v/>
      </c>
      <c r="L794" s="27">
        <f>6-J794-K794</f>
        <v/>
      </c>
    </row>
    <row r="795" ht="16.5" customHeight="1" s="28">
      <c r="A795" s="31" t="n">
        <v>794</v>
      </c>
      <c r="B795" s="27" t="n">
        <v>6</v>
      </c>
      <c r="C795" s="27" t="n">
        <v>7</v>
      </c>
      <c r="D795" s="27" t="n">
        <v>18</v>
      </c>
      <c r="E795" s="27" t="n">
        <v>19</v>
      </c>
      <c r="F795" s="27" t="n">
        <v>30</v>
      </c>
      <c r="G795" s="27" t="n">
        <v>38</v>
      </c>
      <c r="H795" s="27" t="n">
        <v>13</v>
      </c>
      <c r="J795" s="27">
        <f>SUMPRODUCT(COUNTIFS(확률!$J$2:$J$46, 원본!B795:G795, 확률!$M$2:$M$46, "&lt;=20"))</f>
        <v/>
      </c>
      <c r="K795" s="27">
        <f>SUMPRODUCT(COUNTIFS(확률!$J$2:$J$46, 원본!B795:G795, 확률!$M$2:$M$46, "&gt;=36"))</f>
        <v/>
      </c>
      <c r="L795" s="27">
        <f>6-J795-K795</f>
        <v/>
      </c>
    </row>
    <row r="796" ht="16.5" customHeight="1" s="28">
      <c r="A796" s="31" t="n">
        <v>795</v>
      </c>
      <c r="B796" s="27" t="n">
        <v>3</v>
      </c>
      <c r="C796" s="27" t="n">
        <v>10</v>
      </c>
      <c r="D796" s="27" t="n">
        <v>13</v>
      </c>
      <c r="E796" s="27" t="n">
        <v>26</v>
      </c>
      <c r="F796" s="27" t="n">
        <v>34</v>
      </c>
      <c r="G796" s="27" t="n">
        <v>38</v>
      </c>
      <c r="H796" s="27" t="n">
        <v>36</v>
      </c>
      <c r="J796" s="27">
        <f>SUMPRODUCT(COUNTIFS(확률!$J$2:$J$46, 원본!B796:G796, 확률!$M$2:$M$46, "&lt;=20"))</f>
        <v/>
      </c>
      <c r="K796" s="27">
        <f>SUMPRODUCT(COUNTIFS(확률!$J$2:$J$46, 원본!B796:G796, 확률!$M$2:$M$46, "&gt;=36"))</f>
        <v/>
      </c>
      <c r="L796" s="27">
        <f>6-J796-K796</f>
        <v/>
      </c>
    </row>
    <row r="797" ht="16.5" customHeight="1" s="28">
      <c r="A797" s="31" t="n">
        <v>796</v>
      </c>
      <c r="B797" s="27" t="n">
        <v>1</v>
      </c>
      <c r="C797" s="27" t="n">
        <v>21</v>
      </c>
      <c r="D797" s="27" t="n">
        <v>26</v>
      </c>
      <c r="E797" s="27" t="n">
        <v>36</v>
      </c>
      <c r="F797" s="27" t="n">
        <v>40</v>
      </c>
      <c r="G797" s="27" t="n">
        <v>41</v>
      </c>
      <c r="H797" s="27" t="n">
        <v>5</v>
      </c>
      <c r="J797" s="27">
        <f>SUMPRODUCT(COUNTIFS(확률!$J$2:$J$46, 원본!B797:G797, 확률!$M$2:$M$46, "&lt;=20"))</f>
        <v/>
      </c>
      <c r="K797" s="27">
        <f>SUMPRODUCT(COUNTIFS(확률!$J$2:$J$46, 원본!B797:G797, 확률!$M$2:$M$46, "&gt;=36"))</f>
        <v/>
      </c>
      <c r="L797" s="27">
        <f>6-J797-K797</f>
        <v/>
      </c>
    </row>
    <row r="798" ht="16.5" customHeight="1" s="28">
      <c r="A798" s="31" t="n">
        <v>797</v>
      </c>
      <c r="B798" s="27" t="n">
        <v>5</v>
      </c>
      <c r="C798" s="27" t="n">
        <v>22</v>
      </c>
      <c r="D798" s="27" t="n">
        <v>31</v>
      </c>
      <c r="E798" s="27" t="n">
        <v>32</v>
      </c>
      <c r="F798" s="27" t="n">
        <v>39</v>
      </c>
      <c r="G798" s="27" t="n">
        <v>45</v>
      </c>
      <c r="H798" s="27" t="n">
        <v>36</v>
      </c>
      <c r="J798" s="27">
        <f>SUMPRODUCT(COUNTIFS(확률!$J$2:$J$46, 원본!B798:G798, 확률!$M$2:$M$46, "&lt;=20"))</f>
        <v/>
      </c>
      <c r="K798" s="27">
        <f>SUMPRODUCT(COUNTIFS(확률!$J$2:$J$46, 원본!B798:G798, 확률!$M$2:$M$46, "&gt;=36"))</f>
        <v/>
      </c>
      <c r="L798" s="27">
        <f>6-J798-K798</f>
        <v/>
      </c>
    </row>
    <row r="799" ht="16.5" customHeight="1" s="28">
      <c r="A799" s="31" t="n">
        <v>798</v>
      </c>
      <c r="B799" s="27" t="n">
        <v>2</v>
      </c>
      <c r="C799" s="27" t="n">
        <v>10</v>
      </c>
      <c r="D799" s="27" t="n">
        <v>14</v>
      </c>
      <c r="E799" s="27" t="n">
        <v>22</v>
      </c>
      <c r="F799" s="27" t="n">
        <v>32</v>
      </c>
      <c r="G799" s="27" t="n">
        <v>36</v>
      </c>
      <c r="H799" s="27" t="n">
        <v>41</v>
      </c>
      <c r="J799" s="27">
        <f>SUMPRODUCT(COUNTIFS(확률!$J$2:$J$46, 원본!B799:G799, 확률!$M$2:$M$46, "&lt;=20"))</f>
        <v/>
      </c>
      <c r="K799" s="27">
        <f>SUMPRODUCT(COUNTIFS(확률!$J$2:$J$46, 원본!B799:G799, 확률!$M$2:$M$46, "&gt;=36"))</f>
        <v/>
      </c>
      <c r="L799" s="27">
        <f>6-J799-K799</f>
        <v/>
      </c>
    </row>
    <row r="800" ht="16.5" customHeight="1" s="28">
      <c r="A800" s="31" t="n">
        <v>799</v>
      </c>
      <c r="B800" s="27" t="n">
        <v>12</v>
      </c>
      <c r="C800" s="27" t="n">
        <v>17</v>
      </c>
      <c r="D800" s="27" t="n">
        <v>23</v>
      </c>
      <c r="E800" s="27" t="n">
        <v>34</v>
      </c>
      <c r="F800" s="27" t="n">
        <v>42</v>
      </c>
      <c r="G800" s="27" t="n">
        <v>45</v>
      </c>
      <c r="H800" s="27" t="n">
        <v>33</v>
      </c>
      <c r="J800" s="27">
        <f>SUMPRODUCT(COUNTIFS(확률!$J$2:$J$46, 원본!B800:G800, 확률!$M$2:$M$46, "&lt;=20"))</f>
        <v/>
      </c>
      <c r="K800" s="27">
        <f>SUMPRODUCT(COUNTIFS(확률!$J$2:$J$46, 원본!B800:G800, 확률!$M$2:$M$46, "&gt;=36"))</f>
        <v/>
      </c>
      <c r="L800" s="27">
        <f>6-J800-K800</f>
        <v/>
      </c>
    </row>
    <row r="801" ht="16.5" customHeight="1" s="28">
      <c r="A801" s="31" t="n">
        <v>800</v>
      </c>
      <c r="B801" s="27" t="n">
        <v>1</v>
      </c>
      <c r="C801" s="27" t="n">
        <v>4</v>
      </c>
      <c r="D801" s="27" t="n">
        <v>10</v>
      </c>
      <c r="E801" s="27" t="n">
        <v>12</v>
      </c>
      <c r="F801" s="27" t="n">
        <v>28</v>
      </c>
      <c r="G801" s="27" t="n">
        <v>45</v>
      </c>
      <c r="H801" s="27" t="n">
        <v>26</v>
      </c>
      <c r="J801" s="27">
        <f>SUMPRODUCT(COUNTIFS(확률!$J$2:$J$46, 원본!B801:G801, 확률!$M$2:$M$46, "&lt;=20"))</f>
        <v/>
      </c>
      <c r="K801" s="27">
        <f>SUMPRODUCT(COUNTIFS(확률!$J$2:$J$46, 원본!B801:G801, 확률!$M$2:$M$46, "&gt;=36"))</f>
        <v/>
      </c>
      <c r="L801" s="27">
        <f>6-J801-K801</f>
        <v/>
      </c>
    </row>
    <row r="802" ht="16.5" customHeight="1" s="28">
      <c r="A802" s="31" t="n">
        <v>801</v>
      </c>
      <c r="B802" s="27" t="n">
        <v>17</v>
      </c>
      <c r="C802" s="27" t="n">
        <v>25</v>
      </c>
      <c r="D802" s="27" t="n">
        <v>28</v>
      </c>
      <c r="E802" s="27" t="n">
        <v>37</v>
      </c>
      <c r="F802" s="27" t="n">
        <v>43</v>
      </c>
      <c r="G802" s="27" t="n">
        <v>44</v>
      </c>
      <c r="H802" s="27" t="n">
        <v>2</v>
      </c>
      <c r="J802" s="27">
        <f>SUMPRODUCT(COUNTIFS(확률!$J$2:$J$46, 원본!B802:G802, 확률!$M$2:$M$46, "&lt;=20"))</f>
        <v/>
      </c>
      <c r="K802" s="27">
        <f>SUMPRODUCT(COUNTIFS(확률!$J$2:$J$46, 원본!B802:G802, 확률!$M$2:$M$46, "&gt;=36"))</f>
        <v/>
      </c>
      <c r="L802" s="27">
        <f>6-J802-K802</f>
        <v/>
      </c>
    </row>
    <row r="803" ht="16.5" customHeight="1" s="28">
      <c r="A803" s="31" t="n">
        <v>802</v>
      </c>
      <c r="B803" s="27" t="n">
        <v>10</v>
      </c>
      <c r="C803" s="27" t="n">
        <v>11</v>
      </c>
      <c r="D803" s="27" t="n">
        <v>12</v>
      </c>
      <c r="E803" s="27" t="n">
        <v>18</v>
      </c>
      <c r="F803" s="27" t="n">
        <v>24</v>
      </c>
      <c r="G803" s="27" t="n">
        <v>42</v>
      </c>
      <c r="H803" s="27" t="n">
        <v>27</v>
      </c>
      <c r="J803" s="27">
        <f>SUMPRODUCT(COUNTIFS(확률!$J$2:$J$46, 원본!B803:G803, 확률!$M$2:$M$46, "&lt;=20"))</f>
        <v/>
      </c>
      <c r="K803" s="27">
        <f>SUMPRODUCT(COUNTIFS(확률!$J$2:$J$46, 원본!B803:G803, 확률!$M$2:$M$46, "&gt;=36"))</f>
        <v/>
      </c>
      <c r="L803" s="27">
        <f>6-J803-K803</f>
        <v/>
      </c>
    </row>
    <row r="804" ht="16.5" customHeight="1" s="28">
      <c r="A804" s="31" t="n">
        <v>803</v>
      </c>
      <c r="B804" s="27" t="n">
        <v>5</v>
      </c>
      <c r="C804" s="27" t="n">
        <v>9</v>
      </c>
      <c r="D804" s="27" t="n">
        <v>14</v>
      </c>
      <c r="E804" s="27" t="n">
        <v>26</v>
      </c>
      <c r="F804" s="27" t="n">
        <v>30</v>
      </c>
      <c r="G804" s="27" t="n">
        <v>43</v>
      </c>
      <c r="H804" s="27" t="n">
        <v>2</v>
      </c>
      <c r="J804" s="27">
        <f>SUMPRODUCT(COUNTIFS(확률!$J$2:$J$46, 원본!B804:G804, 확률!$M$2:$M$46, "&lt;=20"))</f>
        <v/>
      </c>
      <c r="K804" s="27">
        <f>SUMPRODUCT(COUNTIFS(확률!$J$2:$J$46, 원본!B804:G804, 확률!$M$2:$M$46, "&gt;=36"))</f>
        <v/>
      </c>
      <c r="L804" s="27">
        <f>6-J804-K804</f>
        <v/>
      </c>
    </row>
    <row r="805" ht="16.5" customHeight="1" s="28">
      <c r="A805" s="31" t="n">
        <v>804</v>
      </c>
      <c r="B805" s="27" t="n">
        <v>1</v>
      </c>
      <c r="C805" s="27" t="n">
        <v>10</v>
      </c>
      <c r="D805" s="27" t="n">
        <v>13</v>
      </c>
      <c r="E805" s="27" t="n">
        <v>26</v>
      </c>
      <c r="F805" s="27" t="n">
        <v>32</v>
      </c>
      <c r="G805" s="27" t="n">
        <v>36</v>
      </c>
      <c r="H805" s="27" t="n">
        <v>9</v>
      </c>
      <c r="J805" s="27">
        <f>SUMPRODUCT(COUNTIFS(확률!$J$2:$J$46, 원본!B805:G805, 확률!$M$2:$M$46, "&lt;=20"))</f>
        <v/>
      </c>
      <c r="K805" s="27">
        <f>SUMPRODUCT(COUNTIFS(확률!$J$2:$J$46, 원본!B805:G805, 확률!$M$2:$M$46, "&gt;=36"))</f>
        <v/>
      </c>
      <c r="L805" s="27">
        <f>6-J805-K805</f>
        <v/>
      </c>
    </row>
    <row r="806" ht="16.5" customHeight="1" s="28">
      <c r="A806" s="31" t="n">
        <v>805</v>
      </c>
      <c r="B806" s="27" t="n">
        <v>3</v>
      </c>
      <c r="C806" s="27" t="n">
        <v>12</v>
      </c>
      <c r="D806" s="27" t="n">
        <v>13</v>
      </c>
      <c r="E806" s="27" t="n">
        <v>18</v>
      </c>
      <c r="F806" s="27" t="n">
        <v>31</v>
      </c>
      <c r="G806" s="27" t="n">
        <v>32</v>
      </c>
      <c r="H806" s="27" t="n">
        <v>42</v>
      </c>
      <c r="J806" s="27">
        <f>SUMPRODUCT(COUNTIFS(확률!$J$2:$J$46, 원본!B806:G806, 확률!$M$2:$M$46, "&lt;=20"))</f>
        <v/>
      </c>
      <c r="K806" s="27">
        <f>SUMPRODUCT(COUNTIFS(확률!$J$2:$J$46, 원본!B806:G806, 확률!$M$2:$M$46, "&gt;=36"))</f>
        <v/>
      </c>
      <c r="L806" s="27">
        <f>6-J806-K806</f>
        <v/>
      </c>
    </row>
    <row r="807" ht="16.5" customHeight="1" s="28">
      <c r="A807" s="31" t="n">
        <v>806</v>
      </c>
      <c r="B807" s="27" t="n">
        <v>14</v>
      </c>
      <c r="C807" s="27" t="n">
        <v>20</v>
      </c>
      <c r="D807" s="27" t="n">
        <v>23</v>
      </c>
      <c r="E807" s="27" t="n">
        <v>31</v>
      </c>
      <c r="F807" s="27" t="n">
        <v>37</v>
      </c>
      <c r="G807" s="27" t="n">
        <v>38</v>
      </c>
      <c r="H807" s="27" t="n">
        <v>27</v>
      </c>
      <c r="J807" s="27">
        <f>SUMPRODUCT(COUNTIFS(확률!$J$2:$J$46, 원본!B807:G807, 확률!$M$2:$M$46, "&lt;=20"))</f>
        <v/>
      </c>
      <c r="K807" s="27">
        <f>SUMPRODUCT(COUNTIFS(확률!$J$2:$J$46, 원본!B807:G807, 확률!$M$2:$M$46, "&gt;=36"))</f>
        <v/>
      </c>
      <c r="L807" s="27">
        <f>6-J807-K807</f>
        <v/>
      </c>
    </row>
    <row r="808" ht="16.5" customHeight="1" s="28">
      <c r="A808" s="31" t="n">
        <v>807</v>
      </c>
      <c r="B808" s="27" t="n">
        <v>6</v>
      </c>
      <c r="C808" s="27" t="n">
        <v>10</v>
      </c>
      <c r="D808" s="27" t="n">
        <v>18</v>
      </c>
      <c r="E808" s="27" t="n">
        <v>25</v>
      </c>
      <c r="F808" s="27" t="n">
        <v>34</v>
      </c>
      <c r="G808" s="27" t="n">
        <v>35</v>
      </c>
      <c r="H808" s="27" t="n">
        <v>33</v>
      </c>
      <c r="J808" s="27">
        <f>SUMPRODUCT(COUNTIFS(확률!$J$2:$J$46, 원본!B808:G808, 확률!$M$2:$M$46, "&lt;=20"))</f>
        <v/>
      </c>
      <c r="K808" s="27">
        <f>SUMPRODUCT(COUNTIFS(확률!$J$2:$J$46, 원본!B808:G808, 확률!$M$2:$M$46, "&gt;=36"))</f>
        <v/>
      </c>
      <c r="L808" s="27">
        <f>6-J808-K808</f>
        <v/>
      </c>
    </row>
    <row r="809" ht="16.5" customHeight="1" s="28">
      <c r="A809" s="31" t="n">
        <v>808</v>
      </c>
      <c r="B809" s="27" t="n">
        <v>15</v>
      </c>
      <c r="C809" s="27" t="n">
        <v>21</v>
      </c>
      <c r="D809" s="27" t="n">
        <v>31</v>
      </c>
      <c r="E809" s="27" t="n">
        <v>32</v>
      </c>
      <c r="F809" s="27" t="n">
        <v>41</v>
      </c>
      <c r="G809" s="27" t="n">
        <v>43</v>
      </c>
      <c r="H809" s="27" t="n">
        <v>24</v>
      </c>
      <c r="J809" s="27">
        <f>SUMPRODUCT(COUNTIFS(확률!$J$2:$J$46, 원본!B809:G809, 확률!$M$2:$M$46, "&lt;=20"))</f>
        <v/>
      </c>
      <c r="K809" s="27">
        <f>SUMPRODUCT(COUNTIFS(확률!$J$2:$J$46, 원본!B809:G809, 확률!$M$2:$M$46, "&gt;=36"))</f>
        <v/>
      </c>
      <c r="L809" s="27">
        <f>6-J809-K809</f>
        <v/>
      </c>
    </row>
    <row r="810" ht="16.5" customHeight="1" s="28">
      <c r="A810" s="31" t="n">
        <v>809</v>
      </c>
      <c r="B810" s="27" t="n">
        <v>6</v>
      </c>
      <c r="C810" s="27" t="n">
        <v>11</v>
      </c>
      <c r="D810" s="27" t="n">
        <v>15</v>
      </c>
      <c r="E810" s="27" t="n">
        <v>17</v>
      </c>
      <c r="F810" s="27" t="n">
        <v>23</v>
      </c>
      <c r="G810" s="27" t="n">
        <v>40</v>
      </c>
      <c r="H810" s="27" t="n">
        <v>39</v>
      </c>
      <c r="J810" s="27">
        <f>SUMPRODUCT(COUNTIFS(확률!$J$2:$J$46, 원본!B810:G810, 확률!$M$2:$M$46, "&lt;=20"))</f>
        <v/>
      </c>
      <c r="K810" s="27">
        <f>SUMPRODUCT(COUNTIFS(확률!$J$2:$J$46, 원본!B810:G810, 확률!$M$2:$M$46, "&gt;=36"))</f>
        <v/>
      </c>
      <c r="L810" s="27">
        <f>6-J810-K810</f>
        <v/>
      </c>
    </row>
    <row r="811" ht="16.5" customHeight="1" s="28">
      <c r="A811" s="31" t="n">
        <v>810</v>
      </c>
      <c r="B811" s="27" t="n">
        <v>5</v>
      </c>
      <c r="C811" s="27" t="n">
        <v>10</v>
      </c>
      <c r="D811" s="27" t="n">
        <v>13</v>
      </c>
      <c r="E811" s="27" t="n">
        <v>21</v>
      </c>
      <c r="F811" s="27" t="n">
        <v>39</v>
      </c>
      <c r="G811" s="27" t="n">
        <v>43</v>
      </c>
      <c r="H811" s="27" t="n">
        <v>11</v>
      </c>
      <c r="J811" s="27">
        <f>SUMPRODUCT(COUNTIFS(확률!$J$2:$J$46, 원본!B811:G811, 확률!$M$2:$M$46, "&lt;=20"))</f>
        <v/>
      </c>
      <c r="K811" s="27">
        <f>SUMPRODUCT(COUNTIFS(확률!$J$2:$J$46, 원본!B811:G811, 확률!$M$2:$M$46, "&gt;=36"))</f>
        <v/>
      </c>
      <c r="L811" s="27">
        <f>6-J811-K811</f>
        <v/>
      </c>
    </row>
    <row r="812" ht="16.5" customHeight="1" s="28">
      <c r="A812" s="31" t="n">
        <v>811</v>
      </c>
      <c r="B812" s="27" t="n">
        <v>8</v>
      </c>
      <c r="C812" s="27" t="n">
        <v>11</v>
      </c>
      <c r="D812" s="27" t="n">
        <v>19</v>
      </c>
      <c r="E812" s="27" t="n">
        <v>21</v>
      </c>
      <c r="F812" s="27" t="n">
        <v>36</v>
      </c>
      <c r="G812" s="27" t="n">
        <v>45</v>
      </c>
      <c r="H812" s="27" t="n">
        <v>25</v>
      </c>
      <c r="J812" s="27">
        <f>SUMPRODUCT(COUNTIFS(확률!$J$2:$J$46, 원본!B812:G812, 확률!$M$2:$M$46, "&lt;=20"))</f>
        <v/>
      </c>
      <c r="K812" s="27">
        <f>SUMPRODUCT(COUNTIFS(확률!$J$2:$J$46, 원본!B812:G812, 확률!$M$2:$M$46, "&gt;=36"))</f>
        <v/>
      </c>
      <c r="L812" s="27">
        <f>6-J812-K812</f>
        <v/>
      </c>
    </row>
    <row r="813" ht="16.5" customHeight="1" s="28">
      <c r="A813" s="31" t="n">
        <v>812</v>
      </c>
      <c r="B813" s="27" t="n">
        <v>1</v>
      </c>
      <c r="C813" s="27" t="n">
        <v>3</v>
      </c>
      <c r="D813" s="27" t="n">
        <v>12</v>
      </c>
      <c r="E813" s="27" t="n">
        <v>14</v>
      </c>
      <c r="F813" s="27" t="n">
        <v>16</v>
      </c>
      <c r="G813" s="27" t="n">
        <v>43</v>
      </c>
      <c r="H813" s="27" t="n">
        <v>10</v>
      </c>
      <c r="J813" s="27">
        <f>SUMPRODUCT(COUNTIFS(확률!$J$2:$J$46, 원본!B813:G813, 확률!$M$2:$M$46, "&lt;=20"))</f>
        <v/>
      </c>
      <c r="K813" s="27">
        <f>SUMPRODUCT(COUNTIFS(확률!$J$2:$J$46, 원본!B813:G813, 확률!$M$2:$M$46, "&gt;=36"))</f>
        <v/>
      </c>
      <c r="L813" s="27">
        <f>6-J813-K813</f>
        <v/>
      </c>
    </row>
    <row r="814" ht="16.5" customHeight="1" s="28">
      <c r="A814" s="31" t="n">
        <v>813</v>
      </c>
      <c r="B814" s="27" t="n">
        <v>11</v>
      </c>
      <c r="C814" s="27" t="n">
        <v>30</v>
      </c>
      <c r="D814" s="27" t="n">
        <v>34</v>
      </c>
      <c r="E814" s="27" t="n">
        <v>35</v>
      </c>
      <c r="F814" s="27" t="n">
        <v>42</v>
      </c>
      <c r="G814" s="27" t="n">
        <v>44</v>
      </c>
      <c r="H814" s="27" t="n">
        <v>27</v>
      </c>
      <c r="J814" s="27">
        <f>SUMPRODUCT(COUNTIFS(확률!$J$2:$J$46, 원본!B814:G814, 확률!$M$2:$M$46, "&lt;=20"))</f>
        <v/>
      </c>
      <c r="K814" s="27">
        <f>SUMPRODUCT(COUNTIFS(확률!$J$2:$J$46, 원본!B814:G814, 확률!$M$2:$M$46, "&gt;=36"))</f>
        <v/>
      </c>
      <c r="L814" s="27">
        <f>6-J814-K814</f>
        <v/>
      </c>
    </row>
    <row r="815" ht="16.5" customHeight="1" s="28">
      <c r="A815" s="31" t="n">
        <v>814</v>
      </c>
      <c r="B815" s="27" t="n">
        <v>2</v>
      </c>
      <c r="C815" s="27" t="n">
        <v>21</v>
      </c>
      <c r="D815" s="27" t="n">
        <v>28</v>
      </c>
      <c r="E815" s="27" t="n">
        <v>38</v>
      </c>
      <c r="F815" s="27" t="n">
        <v>42</v>
      </c>
      <c r="G815" s="27" t="n">
        <v>45</v>
      </c>
      <c r="H815" s="27" t="n">
        <v>30</v>
      </c>
      <c r="J815" s="27">
        <f>SUMPRODUCT(COUNTIFS(확률!$J$2:$J$46, 원본!B815:G815, 확률!$M$2:$M$46, "&lt;=20"))</f>
        <v/>
      </c>
      <c r="K815" s="27">
        <f>SUMPRODUCT(COUNTIFS(확률!$J$2:$J$46, 원본!B815:G815, 확률!$M$2:$M$46, "&gt;=36"))</f>
        <v/>
      </c>
      <c r="L815" s="27">
        <f>6-J815-K815</f>
        <v/>
      </c>
    </row>
    <row r="816" ht="16.5" customHeight="1" s="28">
      <c r="A816" s="31" t="n">
        <v>815</v>
      </c>
      <c r="B816" s="27" t="n">
        <v>17</v>
      </c>
      <c r="C816" s="27" t="n">
        <v>21</v>
      </c>
      <c r="D816" s="27" t="n">
        <v>25</v>
      </c>
      <c r="E816" s="27" t="n">
        <v>26</v>
      </c>
      <c r="F816" s="27" t="n">
        <v>27</v>
      </c>
      <c r="G816" s="27" t="n">
        <v>36</v>
      </c>
      <c r="H816" s="27" t="n">
        <v>4</v>
      </c>
      <c r="J816" s="27">
        <f>SUMPRODUCT(COUNTIFS(확률!$J$2:$J$46, 원본!B816:G816, 확률!$M$2:$M$46, "&lt;=20"))</f>
        <v/>
      </c>
      <c r="K816" s="27">
        <f>SUMPRODUCT(COUNTIFS(확률!$J$2:$J$46, 원본!B816:G816, 확률!$M$2:$M$46, "&gt;=36"))</f>
        <v/>
      </c>
      <c r="L816" s="27">
        <f>6-J816-K816</f>
        <v/>
      </c>
    </row>
    <row r="817" ht="16.5" customHeight="1" s="28">
      <c r="A817" s="31" t="n">
        <v>816</v>
      </c>
      <c r="B817" s="27" t="n">
        <v>12</v>
      </c>
      <c r="C817" s="27" t="n">
        <v>18</v>
      </c>
      <c r="D817" s="27" t="n">
        <v>19</v>
      </c>
      <c r="E817" s="27" t="n">
        <v>29</v>
      </c>
      <c r="F817" s="27" t="n">
        <v>31</v>
      </c>
      <c r="G817" s="27" t="n">
        <v>39</v>
      </c>
      <c r="H817" s="27" t="n">
        <v>7</v>
      </c>
      <c r="J817" s="27">
        <f>SUMPRODUCT(COUNTIFS(확률!$J$2:$J$46, 원본!B817:G817, 확률!$M$2:$M$46, "&lt;=20"))</f>
        <v/>
      </c>
      <c r="K817" s="27">
        <f>SUMPRODUCT(COUNTIFS(확률!$J$2:$J$46, 원본!B817:G817, 확률!$M$2:$M$46, "&gt;=36"))</f>
        <v/>
      </c>
      <c r="L817" s="27">
        <f>6-J817-K817</f>
        <v/>
      </c>
    </row>
    <row r="818" ht="16.5" customHeight="1" s="28">
      <c r="A818" s="31" t="n">
        <v>817</v>
      </c>
      <c r="B818" s="27" t="n">
        <v>3</v>
      </c>
      <c r="C818" s="27" t="n">
        <v>9</v>
      </c>
      <c r="D818" s="27" t="n">
        <v>12</v>
      </c>
      <c r="E818" s="27" t="n">
        <v>13</v>
      </c>
      <c r="F818" s="27" t="n">
        <v>25</v>
      </c>
      <c r="G818" s="27" t="n">
        <v>43</v>
      </c>
      <c r="H818" s="27" t="n">
        <v>34</v>
      </c>
      <c r="J818" s="27">
        <f>SUMPRODUCT(COUNTIFS(확률!$J$2:$J$46, 원본!B818:G818, 확률!$M$2:$M$46, "&lt;=20"))</f>
        <v/>
      </c>
      <c r="K818" s="27">
        <f>SUMPRODUCT(COUNTIFS(확률!$J$2:$J$46, 원본!B818:G818, 확률!$M$2:$M$46, "&gt;=36"))</f>
        <v/>
      </c>
      <c r="L818" s="27">
        <f>6-J818-K818</f>
        <v/>
      </c>
    </row>
    <row r="819" ht="16.5" customHeight="1" s="28">
      <c r="A819" s="31" t="n">
        <v>818</v>
      </c>
      <c r="B819" s="27" t="n">
        <v>14</v>
      </c>
      <c r="C819" s="27" t="n">
        <v>15</v>
      </c>
      <c r="D819" s="27" t="n">
        <v>25</v>
      </c>
      <c r="E819" s="27" t="n">
        <v>28</v>
      </c>
      <c r="F819" s="27" t="n">
        <v>29</v>
      </c>
      <c r="G819" s="27" t="n">
        <v>30</v>
      </c>
      <c r="H819" s="27" t="n">
        <v>3</v>
      </c>
      <c r="J819" s="27">
        <f>SUMPRODUCT(COUNTIFS(확률!$J$2:$J$46, 원본!B819:G819, 확률!$M$2:$M$46, "&lt;=20"))</f>
        <v/>
      </c>
      <c r="K819" s="27">
        <f>SUMPRODUCT(COUNTIFS(확률!$J$2:$J$46, 원본!B819:G819, 확률!$M$2:$M$46, "&gt;=36"))</f>
        <v/>
      </c>
      <c r="L819" s="27">
        <f>6-J819-K819</f>
        <v/>
      </c>
    </row>
    <row r="820" ht="16.5" customHeight="1" s="28">
      <c r="A820" s="31" t="n">
        <v>819</v>
      </c>
      <c r="B820" s="27" t="n">
        <v>16</v>
      </c>
      <c r="C820" s="27" t="n">
        <v>25</v>
      </c>
      <c r="D820" s="27" t="n">
        <v>33</v>
      </c>
      <c r="E820" s="27" t="n">
        <v>38</v>
      </c>
      <c r="F820" s="27" t="n">
        <v>40</v>
      </c>
      <c r="G820" s="27" t="n">
        <v>45</v>
      </c>
      <c r="H820" s="27" t="n">
        <v>15</v>
      </c>
      <c r="J820" s="27">
        <f>SUMPRODUCT(COUNTIFS(확률!$J$2:$J$46, 원본!B820:G820, 확률!$M$2:$M$46, "&lt;=20"))</f>
        <v/>
      </c>
      <c r="K820" s="27">
        <f>SUMPRODUCT(COUNTIFS(확률!$J$2:$J$46, 원본!B820:G820, 확률!$M$2:$M$46, "&gt;=36"))</f>
        <v/>
      </c>
      <c r="L820" s="27">
        <f>6-J820-K820</f>
        <v/>
      </c>
    </row>
    <row r="821" ht="16.5" customHeight="1" s="28">
      <c r="A821" s="31" t="n">
        <v>820</v>
      </c>
      <c r="B821" s="27" t="n">
        <v>10</v>
      </c>
      <c r="C821" s="27" t="n">
        <v>21</v>
      </c>
      <c r="D821" s="27" t="n">
        <v>22</v>
      </c>
      <c r="E821" s="27" t="n">
        <v>30</v>
      </c>
      <c r="F821" s="27" t="n">
        <v>35</v>
      </c>
      <c r="G821" s="27" t="n">
        <v>42</v>
      </c>
      <c r="H821" s="27" t="n">
        <v>6</v>
      </c>
      <c r="J821" s="27">
        <f>SUMPRODUCT(COUNTIFS(확률!$J$2:$J$46, 원본!B821:G821, 확률!$M$2:$M$46, "&lt;=20"))</f>
        <v/>
      </c>
      <c r="K821" s="27">
        <f>SUMPRODUCT(COUNTIFS(확률!$J$2:$J$46, 원본!B821:G821, 확률!$M$2:$M$46, "&gt;=36"))</f>
        <v/>
      </c>
      <c r="L821" s="27">
        <f>6-J821-K821</f>
        <v/>
      </c>
    </row>
    <row r="822" ht="16.5" customHeight="1" s="28">
      <c r="A822" s="31" t="n">
        <v>821</v>
      </c>
      <c r="B822" s="27" t="n">
        <v>1</v>
      </c>
      <c r="C822" s="27" t="n">
        <v>12</v>
      </c>
      <c r="D822" s="27" t="n">
        <v>13</v>
      </c>
      <c r="E822" s="27" t="n">
        <v>24</v>
      </c>
      <c r="F822" s="27" t="n">
        <v>29</v>
      </c>
      <c r="G822" s="27" t="n">
        <v>44</v>
      </c>
      <c r="H822" s="27" t="n">
        <v>16</v>
      </c>
      <c r="J822" s="27">
        <f>SUMPRODUCT(COUNTIFS(확률!$J$2:$J$46, 원본!B822:G822, 확률!$M$2:$M$46, "&lt;=20"))</f>
        <v/>
      </c>
      <c r="K822" s="27">
        <f>SUMPRODUCT(COUNTIFS(확률!$J$2:$J$46, 원본!B822:G822, 확률!$M$2:$M$46, "&gt;=36"))</f>
        <v/>
      </c>
      <c r="L822" s="27">
        <f>6-J822-K822</f>
        <v/>
      </c>
    </row>
    <row r="823" ht="16.5" customHeight="1" s="28">
      <c r="A823" s="31" t="n">
        <v>822</v>
      </c>
      <c r="B823" s="27" t="n">
        <v>9</v>
      </c>
      <c r="C823" s="27" t="n">
        <v>18</v>
      </c>
      <c r="D823" s="27" t="n">
        <v>20</v>
      </c>
      <c r="E823" s="27" t="n">
        <v>24</v>
      </c>
      <c r="F823" s="27" t="n">
        <v>27</v>
      </c>
      <c r="G823" s="27" t="n">
        <v>36</v>
      </c>
      <c r="H823" s="27" t="n">
        <v>12</v>
      </c>
      <c r="J823" s="27">
        <f>SUMPRODUCT(COUNTIFS(확률!$J$2:$J$46, 원본!B823:G823, 확률!$M$2:$M$46, "&lt;=20"))</f>
        <v/>
      </c>
      <c r="K823" s="27">
        <f>SUMPRODUCT(COUNTIFS(확률!$J$2:$J$46, 원본!B823:G823, 확률!$M$2:$M$46, "&gt;=36"))</f>
        <v/>
      </c>
      <c r="L823" s="27">
        <f>6-J823-K823</f>
        <v/>
      </c>
    </row>
    <row r="824" ht="16.5" customHeight="1" s="28">
      <c r="A824" s="31" t="n">
        <v>823</v>
      </c>
      <c r="B824" s="27" t="n">
        <v>12</v>
      </c>
      <c r="C824" s="27" t="n">
        <v>18</v>
      </c>
      <c r="D824" s="27" t="n">
        <v>24</v>
      </c>
      <c r="E824" s="27" t="n">
        <v>26</v>
      </c>
      <c r="F824" s="27" t="n">
        <v>39</v>
      </c>
      <c r="G824" s="27" t="n">
        <v>40</v>
      </c>
      <c r="H824" s="27" t="n">
        <v>15</v>
      </c>
      <c r="J824" s="27">
        <f>SUMPRODUCT(COUNTIFS(확률!$J$2:$J$46, 원본!B824:G824, 확률!$M$2:$M$46, "&lt;=20"))</f>
        <v/>
      </c>
      <c r="K824" s="27">
        <f>SUMPRODUCT(COUNTIFS(확률!$J$2:$J$46, 원본!B824:G824, 확률!$M$2:$M$46, "&gt;=36"))</f>
        <v/>
      </c>
      <c r="L824" s="27">
        <f>6-J824-K824</f>
        <v/>
      </c>
    </row>
    <row r="825" ht="16.5" customHeight="1" s="28">
      <c r="A825" s="31" t="n">
        <v>824</v>
      </c>
      <c r="B825" s="27" t="n">
        <v>7</v>
      </c>
      <c r="C825" s="27" t="n">
        <v>9</v>
      </c>
      <c r="D825" s="27" t="n">
        <v>24</v>
      </c>
      <c r="E825" s="27" t="n">
        <v>29</v>
      </c>
      <c r="F825" s="27" t="n">
        <v>34</v>
      </c>
      <c r="G825" s="27" t="n">
        <v>38</v>
      </c>
      <c r="H825" s="27" t="n">
        <v>26</v>
      </c>
      <c r="J825" s="27">
        <f>SUMPRODUCT(COUNTIFS(확률!$J$2:$J$46, 원본!B825:G825, 확률!$M$2:$M$46, "&lt;=20"))</f>
        <v/>
      </c>
      <c r="K825" s="27">
        <f>SUMPRODUCT(COUNTIFS(확률!$J$2:$J$46, 원본!B825:G825, 확률!$M$2:$M$46, "&gt;=36"))</f>
        <v/>
      </c>
      <c r="L825" s="27">
        <f>6-J825-K825</f>
        <v/>
      </c>
    </row>
    <row r="826" ht="16.5" customHeight="1" s="28">
      <c r="A826" s="31" t="n">
        <v>825</v>
      </c>
      <c r="B826" s="27" t="n">
        <v>8</v>
      </c>
      <c r="C826" s="27" t="n">
        <v>15</v>
      </c>
      <c r="D826" s="27" t="n">
        <v>21</v>
      </c>
      <c r="E826" s="27" t="n">
        <v>31</v>
      </c>
      <c r="F826" s="27" t="n">
        <v>33</v>
      </c>
      <c r="G826" s="27" t="n">
        <v>38</v>
      </c>
      <c r="H826" s="27" t="n">
        <v>42</v>
      </c>
      <c r="J826" s="27">
        <f>SUMPRODUCT(COUNTIFS(확률!$J$2:$J$46, 원본!B826:G826, 확률!$M$2:$M$46, "&lt;=20"))</f>
        <v/>
      </c>
      <c r="K826" s="27">
        <f>SUMPRODUCT(COUNTIFS(확률!$J$2:$J$46, 원본!B826:G826, 확률!$M$2:$M$46, "&gt;=36"))</f>
        <v/>
      </c>
      <c r="L826" s="27">
        <f>6-J826-K826</f>
        <v/>
      </c>
    </row>
    <row r="827" ht="16.5" customHeight="1" s="28">
      <c r="A827" s="31" t="n">
        <v>826</v>
      </c>
      <c r="B827" s="27" t="n">
        <v>13</v>
      </c>
      <c r="C827" s="27" t="n">
        <v>16</v>
      </c>
      <c r="D827" s="27" t="n">
        <v>24</v>
      </c>
      <c r="E827" s="27" t="n">
        <v>25</v>
      </c>
      <c r="F827" s="27" t="n">
        <v>33</v>
      </c>
      <c r="G827" s="27" t="n">
        <v>36</v>
      </c>
      <c r="H827" s="27" t="n">
        <v>42</v>
      </c>
      <c r="J827" s="27">
        <f>SUMPRODUCT(COUNTIFS(확률!$J$2:$J$46, 원본!B827:G827, 확률!$M$2:$M$46, "&lt;=20"))</f>
        <v/>
      </c>
      <c r="K827" s="27">
        <f>SUMPRODUCT(COUNTIFS(확률!$J$2:$J$46, 원본!B827:G827, 확률!$M$2:$M$46, "&gt;=36"))</f>
        <v/>
      </c>
      <c r="L827" s="27">
        <f>6-J827-K827</f>
        <v/>
      </c>
    </row>
    <row r="828" ht="16.5" customHeight="1" s="28">
      <c r="A828" s="31" t="n">
        <v>827</v>
      </c>
      <c r="B828" s="27" t="n">
        <v>5</v>
      </c>
      <c r="C828" s="27" t="n">
        <v>11</v>
      </c>
      <c r="D828" s="27" t="n">
        <v>12</v>
      </c>
      <c r="E828" s="27" t="n">
        <v>29</v>
      </c>
      <c r="F828" s="27" t="n">
        <v>33</v>
      </c>
      <c r="G828" s="27" t="n">
        <v>44</v>
      </c>
      <c r="H828" s="27" t="n">
        <v>14</v>
      </c>
      <c r="J828" s="27">
        <f>SUMPRODUCT(COUNTIFS(확률!$J$2:$J$46, 원본!B828:G828, 확률!$M$2:$M$46, "&lt;=20"))</f>
        <v/>
      </c>
      <c r="K828" s="27">
        <f>SUMPRODUCT(COUNTIFS(확률!$J$2:$J$46, 원본!B828:G828, 확률!$M$2:$M$46, "&gt;=36"))</f>
        <v/>
      </c>
      <c r="L828" s="27">
        <f>6-J828-K828</f>
        <v/>
      </c>
    </row>
    <row r="829" ht="16.5" customHeight="1" s="28">
      <c r="A829" s="31" t="n">
        <v>828</v>
      </c>
      <c r="B829" s="27" t="n">
        <v>4</v>
      </c>
      <c r="C829" s="27" t="n">
        <v>7</v>
      </c>
      <c r="D829" s="27" t="n">
        <v>13</v>
      </c>
      <c r="E829" s="27" t="n">
        <v>29</v>
      </c>
      <c r="F829" s="27" t="n">
        <v>31</v>
      </c>
      <c r="G829" s="27" t="n">
        <v>39</v>
      </c>
      <c r="H829" s="27" t="n">
        <v>18</v>
      </c>
      <c r="J829" s="27">
        <f>SUMPRODUCT(COUNTIFS(확률!$J$2:$J$46, 원본!B829:G829, 확률!$M$2:$M$46, "&lt;=20"))</f>
        <v/>
      </c>
      <c r="K829" s="27">
        <f>SUMPRODUCT(COUNTIFS(확률!$J$2:$J$46, 원본!B829:G829, 확률!$M$2:$M$46, "&gt;=36"))</f>
        <v/>
      </c>
      <c r="L829" s="27">
        <f>6-J829-K829</f>
        <v/>
      </c>
    </row>
    <row r="830" ht="16.5" customHeight="1" s="28">
      <c r="A830" s="31" t="n">
        <v>829</v>
      </c>
      <c r="B830" s="27" t="n">
        <v>4</v>
      </c>
      <c r="C830" s="27" t="n">
        <v>5</v>
      </c>
      <c r="D830" s="27" t="n">
        <v>31</v>
      </c>
      <c r="E830" s="27" t="n">
        <v>35</v>
      </c>
      <c r="F830" s="27" t="n">
        <v>43</v>
      </c>
      <c r="G830" s="27" t="n">
        <v>45</v>
      </c>
      <c r="H830" s="27" t="n">
        <v>29</v>
      </c>
      <c r="J830" s="27">
        <f>SUMPRODUCT(COUNTIFS(확률!$J$2:$J$46, 원본!B830:G830, 확률!$M$2:$M$46, "&lt;=20"))</f>
        <v/>
      </c>
      <c r="K830" s="27">
        <f>SUMPRODUCT(COUNTIFS(확률!$J$2:$J$46, 원본!B830:G830, 확률!$M$2:$M$46, "&gt;=36"))</f>
        <v/>
      </c>
      <c r="L830" s="27">
        <f>6-J830-K830</f>
        <v/>
      </c>
    </row>
    <row r="831" ht="16.5" customHeight="1" s="28">
      <c r="A831" s="31" t="n">
        <v>830</v>
      </c>
      <c r="B831" s="27" t="n">
        <v>5</v>
      </c>
      <c r="C831" s="27" t="n">
        <v>6</v>
      </c>
      <c r="D831" s="27" t="n">
        <v>16</v>
      </c>
      <c r="E831" s="27" t="n">
        <v>18</v>
      </c>
      <c r="F831" s="27" t="n">
        <v>37</v>
      </c>
      <c r="G831" s="27" t="n">
        <v>38</v>
      </c>
      <c r="H831" s="27" t="n">
        <v>17</v>
      </c>
      <c r="J831" s="27">
        <f>SUMPRODUCT(COUNTIFS(확률!$J$2:$J$46, 원본!B831:G831, 확률!$M$2:$M$46, "&lt;=20"))</f>
        <v/>
      </c>
      <c r="K831" s="27">
        <f>SUMPRODUCT(COUNTIFS(확률!$J$2:$J$46, 원본!B831:G831, 확률!$M$2:$M$46, "&gt;=36"))</f>
        <v/>
      </c>
      <c r="L831" s="27">
        <f>6-J831-K831</f>
        <v/>
      </c>
    </row>
    <row r="832" ht="16.5" customHeight="1" s="28">
      <c r="A832" s="31" t="n">
        <v>831</v>
      </c>
      <c r="B832" s="27" t="n">
        <v>3</v>
      </c>
      <c r="C832" s="27" t="n">
        <v>10</v>
      </c>
      <c r="D832" s="27" t="n">
        <v>16</v>
      </c>
      <c r="E832" s="27" t="n">
        <v>19</v>
      </c>
      <c r="F832" s="27" t="n">
        <v>31</v>
      </c>
      <c r="G832" s="27" t="n">
        <v>39</v>
      </c>
      <c r="H832" s="27" t="n">
        <v>9</v>
      </c>
      <c r="J832" s="27">
        <f>SUMPRODUCT(COUNTIFS(확률!$J$2:$J$46, 원본!B832:G832, 확률!$M$2:$M$46, "&lt;=20"))</f>
        <v/>
      </c>
      <c r="K832" s="27">
        <f>SUMPRODUCT(COUNTIFS(확률!$J$2:$J$46, 원본!B832:G832, 확률!$M$2:$M$46, "&gt;=36"))</f>
        <v/>
      </c>
      <c r="L832" s="27">
        <f>6-J832-K832</f>
        <v/>
      </c>
    </row>
    <row r="833" ht="16.5" customHeight="1" s="28">
      <c r="A833" s="31" t="n">
        <v>832</v>
      </c>
      <c r="B833" s="27" t="n">
        <v>13</v>
      </c>
      <c r="C833" s="27" t="n">
        <v>14</v>
      </c>
      <c r="D833" s="27" t="n">
        <v>19</v>
      </c>
      <c r="E833" s="27" t="n">
        <v>26</v>
      </c>
      <c r="F833" s="27" t="n">
        <v>40</v>
      </c>
      <c r="G833" s="27" t="n">
        <v>43</v>
      </c>
      <c r="H833" s="27" t="n">
        <v>30</v>
      </c>
      <c r="J833" s="27">
        <f>SUMPRODUCT(COUNTIFS(확률!$J$2:$J$46, 원본!B833:G833, 확률!$M$2:$M$46, "&lt;=20"))</f>
        <v/>
      </c>
      <c r="K833" s="27">
        <f>SUMPRODUCT(COUNTIFS(확률!$J$2:$J$46, 원본!B833:G833, 확률!$M$2:$M$46, "&gt;=36"))</f>
        <v/>
      </c>
      <c r="L833" s="27">
        <f>6-J833-K833</f>
        <v/>
      </c>
    </row>
    <row r="834" ht="16.5" customHeight="1" s="28">
      <c r="A834" s="31" t="n">
        <v>833</v>
      </c>
      <c r="B834" s="27" t="n">
        <v>12</v>
      </c>
      <c r="C834" s="27" t="n">
        <v>18</v>
      </c>
      <c r="D834" s="27" t="n">
        <v>30</v>
      </c>
      <c r="E834" s="27" t="n">
        <v>39</v>
      </c>
      <c r="F834" s="27" t="n">
        <v>41</v>
      </c>
      <c r="G834" s="27" t="n">
        <v>42</v>
      </c>
      <c r="H834" s="27" t="n">
        <v>19</v>
      </c>
      <c r="J834" s="27">
        <f>SUMPRODUCT(COUNTIFS(확률!$J$2:$J$46, 원본!B834:G834, 확률!$M$2:$M$46, "&lt;=20"))</f>
        <v/>
      </c>
      <c r="K834" s="27">
        <f>SUMPRODUCT(COUNTIFS(확률!$J$2:$J$46, 원본!B834:G834, 확률!$M$2:$M$46, "&gt;=36"))</f>
        <v/>
      </c>
      <c r="L834" s="27">
        <f>6-J834-K834</f>
        <v/>
      </c>
    </row>
    <row r="835" ht="16.5" customHeight="1" s="28">
      <c r="A835" s="31" t="n">
        <v>834</v>
      </c>
      <c r="B835" s="27" t="n">
        <v>6</v>
      </c>
      <c r="C835" s="27" t="n">
        <v>8</v>
      </c>
      <c r="D835" s="27" t="n">
        <v>18</v>
      </c>
      <c r="E835" s="27" t="n">
        <v>35</v>
      </c>
      <c r="F835" s="27" t="n">
        <v>42</v>
      </c>
      <c r="G835" s="27" t="n">
        <v>43</v>
      </c>
      <c r="H835" s="27" t="n">
        <v>3</v>
      </c>
      <c r="J835" s="27">
        <f>SUMPRODUCT(COUNTIFS(확률!$J$2:$J$46, 원본!B835:G835, 확률!$M$2:$M$46, "&lt;=20"))</f>
        <v/>
      </c>
      <c r="K835" s="27">
        <f>SUMPRODUCT(COUNTIFS(확률!$J$2:$J$46, 원본!B835:G835, 확률!$M$2:$M$46, "&gt;=36"))</f>
        <v/>
      </c>
      <c r="L835" s="27">
        <f>6-J835-K835</f>
        <v/>
      </c>
    </row>
    <row r="836" ht="16.5" customHeight="1" s="28">
      <c r="A836" s="31" t="n">
        <v>835</v>
      </c>
      <c r="B836" s="27" t="n">
        <v>9</v>
      </c>
      <c r="C836" s="27" t="n">
        <v>10</v>
      </c>
      <c r="D836" s="27" t="n">
        <v>13</v>
      </c>
      <c r="E836" s="27" t="n">
        <v>28</v>
      </c>
      <c r="F836" s="27" t="n">
        <v>38</v>
      </c>
      <c r="G836" s="27" t="n">
        <v>45</v>
      </c>
      <c r="H836" s="27" t="n">
        <v>35</v>
      </c>
      <c r="J836" s="27">
        <f>SUMPRODUCT(COUNTIFS(확률!$J$2:$J$46, 원본!B836:G836, 확률!$M$2:$M$46, "&lt;=20"))</f>
        <v/>
      </c>
      <c r="K836" s="27">
        <f>SUMPRODUCT(COUNTIFS(확률!$J$2:$J$46, 원본!B836:G836, 확률!$M$2:$M$46, "&gt;=36"))</f>
        <v/>
      </c>
      <c r="L836" s="27">
        <f>6-J836-K836</f>
        <v/>
      </c>
    </row>
    <row r="837" ht="16.5" customHeight="1" s="28">
      <c r="A837" s="31" t="n">
        <v>836</v>
      </c>
      <c r="B837" s="27" t="n">
        <v>1</v>
      </c>
      <c r="C837" s="27" t="n">
        <v>9</v>
      </c>
      <c r="D837" s="27" t="n">
        <v>11</v>
      </c>
      <c r="E837" s="27" t="n">
        <v>14</v>
      </c>
      <c r="F837" s="27" t="n">
        <v>26</v>
      </c>
      <c r="G837" s="27" t="n">
        <v>28</v>
      </c>
      <c r="H837" s="27" t="n">
        <v>19</v>
      </c>
      <c r="J837" s="27">
        <f>SUMPRODUCT(COUNTIFS(확률!$J$2:$J$46, 원본!B837:G837, 확률!$M$2:$M$46, "&lt;=20"))</f>
        <v/>
      </c>
      <c r="K837" s="27">
        <f>SUMPRODUCT(COUNTIFS(확률!$J$2:$J$46, 원본!B837:G837, 확률!$M$2:$M$46, "&gt;=36"))</f>
        <v/>
      </c>
      <c r="L837" s="27">
        <f>6-J837-K837</f>
        <v/>
      </c>
    </row>
    <row r="838" ht="16.5" customHeight="1" s="28">
      <c r="A838" s="31" t="n">
        <v>837</v>
      </c>
      <c r="B838" s="27" t="n">
        <v>2</v>
      </c>
      <c r="C838" s="27" t="n">
        <v>25</v>
      </c>
      <c r="D838" s="27" t="n">
        <v>28</v>
      </c>
      <c r="E838" s="27" t="n">
        <v>30</v>
      </c>
      <c r="F838" s="27" t="n">
        <v>33</v>
      </c>
      <c r="G838" s="27" t="n">
        <v>45</v>
      </c>
      <c r="H838" s="27" t="n">
        <v>6</v>
      </c>
      <c r="J838" s="27">
        <f>SUMPRODUCT(COUNTIFS(확률!$J$2:$J$46, 원본!B838:G838, 확률!$M$2:$M$46, "&lt;=20"))</f>
        <v/>
      </c>
      <c r="K838" s="27">
        <f>SUMPRODUCT(COUNTIFS(확률!$J$2:$J$46, 원본!B838:G838, 확률!$M$2:$M$46, "&gt;=36"))</f>
        <v/>
      </c>
      <c r="L838" s="27">
        <f>6-J838-K838</f>
        <v/>
      </c>
    </row>
    <row r="839" ht="16.5" customHeight="1" s="28">
      <c r="A839" s="31" t="n">
        <v>838</v>
      </c>
      <c r="B839" s="27" t="n">
        <v>9</v>
      </c>
      <c r="C839" s="27" t="n">
        <v>14</v>
      </c>
      <c r="D839" s="27" t="n">
        <v>17</v>
      </c>
      <c r="E839" s="27" t="n">
        <v>33</v>
      </c>
      <c r="F839" s="27" t="n">
        <v>36</v>
      </c>
      <c r="G839" s="27" t="n">
        <v>38</v>
      </c>
      <c r="H839" s="27" t="n">
        <v>20</v>
      </c>
      <c r="J839" s="27">
        <f>SUMPRODUCT(COUNTIFS(확률!$J$2:$J$46, 원본!B839:G839, 확률!$M$2:$M$46, "&lt;=20"))</f>
        <v/>
      </c>
      <c r="K839" s="27">
        <f>SUMPRODUCT(COUNTIFS(확률!$J$2:$J$46, 원본!B839:G839, 확률!$M$2:$M$46, "&gt;=36"))</f>
        <v/>
      </c>
      <c r="L839" s="27">
        <f>6-J839-K839</f>
        <v/>
      </c>
    </row>
    <row r="840" ht="16.5" customHeight="1" s="28">
      <c r="A840" s="31" t="n">
        <v>839</v>
      </c>
      <c r="B840" s="27" t="n">
        <v>3</v>
      </c>
      <c r="C840" s="27" t="n">
        <v>9</v>
      </c>
      <c r="D840" s="27" t="n">
        <v>11</v>
      </c>
      <c r="E840" s="27" t="n">
        <v>12</v>
      </c>
      <c r="F840" s="27" t="n">
        <v>13</v>
      </c>
      <c r="G840" s="27" t="n">
        <v>19</v>
      </c>
      <c r="H840" s="27" t="n">
        <v>35</v>
      </c>
      <c r="J840" s="27">
        <f>SUMPRODUCT(COUNTIFS(확률!$J$2:$J$46, 원본!B840:G840, 확률!$M$2:$M$46, "&lt;=20"))</f>
        <v/>
      </c>
      <c r="K840" s="27">
        <f>SUMPRODUCT(COUNTIFS(확률!$J$2:$J$46, 원본!B840:G840, 확률!$M$2:$M$46, "&gt;=36"))</f>
        <v/>
      </c>
      <c r="L840" s="27">
        <f>6-J840-K840</f>
        <v/>
      </c>
    </row>
    <row r="841" ht="16.5" customHeight="1" s="28">
      <c r="A841" s="31" t="n">
        <v>840</v>
      </c>
      <c r="B841" s="27" t="n">
        <v>2</v>
      </c>
      <c r="C841" s="27" t="n">
        <v>4</v>
      </c>
      <c r="D841" s="27" t="n">
        <v>11</v>
      </c>
      <c r="E841" s="27" t="n">
        <v>28</v>
      </c>
      <c r="F841" s="27" t="n">
        <v>29</v>
      </c>
      <c r="G841" s="27" t="n">
        <v>43</v>
      </c>
      <c r="H841" s="27" t="n">
        <v>27</v>
      </c>
      <c r="J841" s="27">
        <f>SUMPRODUCT(COUNTIFS(확률!$J$2:$J$46, 원본!B841:G841, 확률!$M$2:$M$46, "&lt;=20"))</f>
        <v/>
      </c>
      <c r="K841" s="27">
        <f>SUMPRODUCT(COUNTIFS(확률!$J$2:$J$46, 원본!B841:G841, 확률!$M$2:$M$46, "&gt;=36"))</f>
        <v/>
      </c>
      <c r="L841" s="27">
        <f>6-J841-K841</f>
        <v/>
      </c>
    </row>
    <row r="842" ht="16.5" customHeight="1" s="28">
      <c r="A842" s="31" t="n">
        <v>841</v>
      </c>
      <c r="B842" s="27" t="n">
        <v>5</v>
      </c>
      <c r="C842" s="27" t="n">
        <v>11</v>
      </c>
      <c r="D842" s="27" t="n">
        <v>14</v>
      </c>
      <c r="E842" s="27" t="n">
        <v>30</v>
      </c>
      <c r="F842" s="27" t="n">
        <v>33</v>
      </c>
      <c r="G842" s="27" t="n">
        <v>38</v>
      </c>
      <c r="H842" s="27" t="n">
        <v>24</v>
      </c>
      <c r="J842" s="27">
        <f>SUMPRODUCT(COUNTIFS(확률!$J$2:$J$46, 원본!B842:G842, 확률!$M$2:$M$46, "&lt;=20"))</f>
        <v/>
      </c>
      <c r="K842" s="27">
        <f>SUMPRODUCT(COUNTIFS(확률!$J$2:$J$46, 원본!B842:G842, 확률!$M$2:$M$46, "&gt;=36"))</f>
        <v/>
      </c>
      <c r="L842" s="27">
        <f>6-J842-K842</f>
        <v/>
      </c>
    </row>
    <row r="843" ht="16.5" customHeight="1" s="28">
      <c r="A843" s="31" t="n">
        <v>842</v>
      </c>
      <c r="B843" s="27" t="n">
        <v>14</v>
      </c>
      <c r="C843" s="27" t="n">
        <v>26</v>
      </c>
      <c r="D843" s="27" t="n">
        <v>32</v>
      </c>
      <c r="E843" s="27" t="n">
        <v>36</v>
      </c>
      <c r="F843" s="27" t="n">
        <v>39</v>
      </c>
      <c r="G843" s="27" t="n">
        <v>42</v>
      </c>
      <c r="H843" s="27" t="n">
        <v>38</v>
      </c>
      <c r="J843" s="27">
        <f>SUMPRODUCT(COUNTIFS(확률!$J$2:$J$46, 원본!B843:G843, 확률!$M$2:$M$46, "&lt;=20"))</f>
        <v/>
      </c>
      <c r="K843" s="27">
        <f>SUMPRODUCT(COUNTIFS(확률!$J$2:$J$46, 원본!B843:G843, 확률!$M$2:$M$46, "&gt;=36"))</f>
        <v/>
      </c>
      <c r="L843" s="27">
        <f>6-J843-K843</f>
        <v/>
      </c>
    </row>
    <row r="844" ht="16.5" customHeight="1" s="28">
      <c r="A844" s="31" t="n">
        <v>843</v>
      </c>
      <c r="B844" s="27" t="n">
        <v>19</v>
      </c>
      <c r="C844" s="27" t="n">
        <v>21</v>
      </c>
      <c r="D844" s="27" t="n">
        <v>30</v>
      </c>
      <c r="E844" s="27" t="n">
        <v>33</v>
      </c>
      <c r="F844" s="27" t="n">
        <v>34</v>
      </c>
      <c r="G844" s="27" t="n">
        <v>42</v>
      </c>
      <c r="H844" s="27" t="n">
        <v>4</v>
      </c>
      <c r="J844" s="27">
        <f>SUMPRODUCT(COUNTIFS(확률!$J$2:$J$46, 원본!B844:G844, 확률!$M$2:$M$46, "&lt;=20"))</f>
        <v/>
      </c>
      <c r="K844" s="27">
        <f>SUMPRODUCT(COUNTIFS(확률!$J$2:$J$46, 원본!B844:G844, 확률!$M$2:$M$46, "&gt;=36"))</f>
        <v/>
      </c>
      <c r="L844" s="27">
        <f>6-J844-K844</f>
        <v/>
      </c>
    </row>
    <row r="845" ht="16.5" customHeight="1" s="28">
      <c r="A845" s="31" t="n">
        <v>844</v>
      </c>
      <c r="B845" s="27" t="n">
        <v>7</v>
      </c>
      <c r="C845" s="27" t="n">
        <v>8</v>
      </c>
      <c r="D845" s="27" t="n">
        <v>13</v>
      </c>
      <c r="E845" s="27" t="n">
        <v>15</v>
      </c>
      <c r="F845" s="27" t="n">
        <v>33</v>
      </c>
      <c r="G845" s="27" t="n">
        <v>45</v>
      </c>
      <c r="H845" s="27" t="n">
        <v>18</v>
      </c>
      <c r="J845" s="27">
        <f>SUMPRODUCT(COUNTIFS(확률!$J$2:$J$46, 원본!B845:G845, 확률!$M$2:$M$46, "&lt;=20"))</f>
        <v/>
      </c>
      <c r="K845" s="27">
        <f>SUMPRODUCT(COUNTIFS(확률!$J$2:$J$46, 원본!B845:G845, 확률!$M$2:$M$46, "&gt;=36"))</f>
        <v/>
      </c>
      <c r="L845" s="27">
        <f>6-J845-K845</f>
        <v/>
      </c>
    </row>
    <row r="846" ht="16.5" customHeight="1" s="28">
      <c r="A846" s="31" t="n">
        <v>845</v>
      </c>
      <c r="B846" s="27" t="n">
        <v>1</v>
      </c>
      <c r="C846" s="27" t="n">
        <v>16</v>
      </c>
      <c r="D846" s="27" t="n">
        <v>29</v>
      </c>
      <c r="E846" s="27" t="n">
        <v>33</v>
      </c>
      <c r="F846" s="27" t="n">
        <v>40</v>
      </c>
      <c r="G846" s="27" t="n">
        <v>45</v>
      </c>
      <c r="H846" s="27" t="n">
        <v>6</v>
      </c>
      <c r="J846" s="27">
        <f>SUMPRODUCT(COUNTIFS(확률!$J$2:$J$46, 원본!B846:G846, 확률!$M$2:$M$46, "&lt;=20"))</f>
        <v/>
      </c>
      <c r="K846" s="27">
        <f>SUMPRODUCT(COUNTIFS(확률!$J$2:$J$46, 원본!B846:G846, 확률!$M$2:$M$46, "&gt;=36"))</f>
        <v/>
      </c>
      <c r="L846" s="27">
        <f>6-J846-K846</f>
        <v/>
      </c>
    </row>
    <row r="847" ht="16.5" customHeight="1" s="28">
      <c r="A847" s="31" t="n">
        <v>846</v>
      </c>
      <c r="B847" s="27" t="n">
        <v>5</v>
      </c>
      <c r="C847" s="27" t="n">
        <v>18</v>
      </c>
      <c r="D847" s="27" t="n">
        <v>30</v>
      </c>
      <c r="E847" s="27" t="n">
        <v>41</v>
      </c>
      <c r="F847" s="27" t="n">
        <v>43</v>
      </c>
      <c r="G847" s="27" t="n">
        <v>45</v>
      </c>
      <c r="H847" s="27" t="n">
        <v>13</v>
      </c>
      <c r="J847" s="27">
        <f>SUMPRODUCT(COUNTIFS(확률!$J$2:$J$46, 원본!B847:G847, 확률!$M$2:$M$46, "&lt;=20"))</f>
        <v/>
      </c>
      <c r="K847" s="27">
        <f>SUMPRODUCT(COUNTIFS(확률!$J$2:$J$46, 원본!B847:G847, 확률!$M$2:$M$46, "&gt;=36"))</f>
        <v/>
      </c>
      <c r="L847" s="27">
        <f>6-J847-K847</f>
        <v/>
      </c>
    </row>
    <row r="848" ht="16.5" customHeight="1" s="28">
      <c r="A848" s="31" t="n">
        <v>847</v>
      </c>
      <c r="B848" s="27" t="n">
        <v>12</v>
      </c>
      <c r="C848" s="27" t="n">
        <v>16</v>
      </c>
      <c r="D848" s="27" t="n">
        <v>26</v>
      </c>
      <c r="E848" s="27" t="n">
        <v>28</v>
      </c>
      <c r="F848" s="27" t="n">
        <v>30</v>
      </c>
      <c r="G848" s="27" t="n">
        <v>42</v>
      </c>
      <c r="H848" s="27" t="n">
        <v>22</v>
      </c>
      <c r="J848" s="27">
        <f>SUMPRODUCT(COUNTIFS(확률!$J$2:$J$46, 원본!B848:G848, 확률!$M$2:$M$46, "&lt;=20"))</f>
        <v/>
      </c>
      <c r="K848" s="27">
        <f>SUMPRODUCT(COUNTIFS(확률!$J$2:$J$46, 원본!B848:G848, 확률!$M$2:$M$46, "&gt;=36"))</f>
        <v/>
      </c>
      <c r="L848" s="27">
        <f>6-J848-K848</f>
        <v/>
      </c>
    </row>
    <row r="849" ht="16.5" customHeight="1" s="28">
      <c r="A849" s="31" t="n">
        <v>848</v>
      </c>
      <c r="B849" s="27" t="n">
        <v>1</v>
      </c>
      <c r="C849" s="27" t="n">
        <v>2</v>
      </c>
      <c r="D849" s="27" t="n">
        <v>16</v>
      </c>
      <c r="E849" s="27" t="n">
        <v>22</v>
      </c>
      <c r="F849" s="27" t="n">
        <v>38</v>
      </c>
      <c r="G849" s="27" t="n">
        <v>39</v>
      </c>
      <c r="H849" s="27" t="n">
        <v>34</v>
      </c>
      <c r="J849" s="27">
        <f>SUMPRODUCT(COUNTIFS(확률!$J$2:$J$46, 원본!B849:G849, 확률!$M$2:$M$46, "&lt;=20"))</f>
        <v/>
      </c>
      <c r="K849" s="27">
        <f>SUMPRODUCT(COUNTIFS(확률!$J$2:$J$46, 원본!B849:G849, 확률!$M$2:$M$46, "&gt;=36"))</f>
        <v/>
      </c>
      <c r="L849" s="27">
        <f>6-J849-K849</f>
        <v/>
      </c>
    </row>
    <row r="850" ht="16.5" customHeight="1" s="28">
      <c r="A850" s="31" t="n">
        <v>849</v>
      </c>
      <c r="B850" s="27" t="n">
        <v>5</v>
      </c>
      <c r="C850" s="27" t="n">
        <v>13</v>
      </c>
      <c r="D850" s="27" t="n">
        <v>17</v>
      </c>
      <c r="E850" s="27" t="n">
        <v>29</v>
      </c>
      <c r="F850" s="27" t="n">
        <v>34</v>
      </c>
      <c r="G850" s="27" t="n">
        <v>39</v>
      </c>
      <c r="H850" s="27" t="n">
        <v>3</v>
      </c>
      <c r="J850" s="27">
        <f>SUMPRODUCT(COUNTIFS(확률!$J$2:$J$46, 원본!B850:G850, 확률!$M$2:$M$46, "&lt;=20"))</f>
        <v/>
      </c>
      <c r="K850" s="27">
        <f>SUMPRODUCT(COUNTIFS(확률!$J$2:$J$46, 원본!B850:G850, 확률!$M$2:$M$46, "&gt;=36"))</f>
        <v/>
      </c>
      <c r="L850" s="27">
        <f>6-J850-K850</f>
        <v/>
      </c>
    </row>
    <row r="851" ht="16.5" customHeight="1" s="28">
      <c r="A851" s="31" t="n">
        <v>850</v>
      </c>
      <c r="B851" s="27" t="n">
        <v>16</v>
      </c>
      <c r="C851" s="27" t="n">
        <v>20</v>
      </c>
      <c r="D851" s="27" t="n">
        <v>24</v>
      </c>
      <c r="E851" s="27" t="n">
        <v>28</v>
      </c>
      <c r="F851" s="27" t="n">
        <v>36</v>
      </c>
      <c r="G851" s="27" t="n">
        <v>39</v>
      </c>
      <c r="H851" s="27" t="n">
        <v>5</v>
      </c>
      <c r="J851" s="27">
        <f>SUMPRODUCT(COUNTIFS(확률!$J$2:$J$46, 원본!B851:G851, 확률!$M$2:$M$46, "&lt;=20"))</f>
        <v/>
      </c>
      <c r="K851" s="27">
        <f>SUMPRODUCT(COUNTIFS(확률!$J$2:$J$46, 원본!B851:G851, 확률!$M$2:$M$46, "&gt;=36"))</f>
        <v/>
      </c>
      <c r="L851" s="27">
        <f>6-J851-K851</f>
        <v/>
      </c>
    </row>
    <row r="852" ht="16.5" customHeight="1" s="28">
      <c r="A852" s="31" t="n">
        <v>851</v>
      </c>
      <c r="B852" s="27" t="n">
        <v>14</v>
      </c>
      <c r="C852" s="27" t="n">
        <v>18</v>
      </c>
      <c r="D852" s="27" t="n">
        <v>22</v>
      </c>
      <c r="E852" s="27" t="n">
        <v>26</v>
      </c>
      <c r="F852" s="27" t="n">
        <v>31</v>
      </c>
      <c r="G852" s="27" t="n">
        <v>44</v>
      </c>
      <c r="H852" s="27" t="n">
        <v>40</v>
      </c>
      <c r="J852" s="27">
        <f>SUMPRODUCT(COUNTIFS(확률!$J$2:$J$46, 원본!B852:G852, 확률!$M$2:$M$46, "&lt;=20"))</f>
        <v/>
      </c>
      <c r="K852" s="27">
        <f>SUMPRODUCT(COUNTIFS(확률!$J$2:$J$46, 원본!B852:G852, 확률!$M$2:$M$46, "&gt;=36"))</f>
        <v/>
      </c>
      <c r="L852" s="27">
        <f>6-J852-K852</f>
        <v/>
      </c>
    </row>
    <row r="853" ht="16.5" customHeight="1" s="28">
      <c r="A853" s="31" t="n">
        <v>852</v>
      </c>
      <c r="B853" s="27" t="n">
        <v>11</v>
      </c>
      <c r="C853" s="27" t="n">
        <v>17</v>
      </c>
      <c r="D853" s="27" t="n">
        <v>28</v>
      </c>
      <c r="E853" s="27" t="n">
        <v>30</v>
      </c>
      <c r="F853" s="27" t="n">
        <v>33</v>
      </c>
      <c r="G853" s="27" t="n">
        <v>35</v>
      </c>
      <c r="H853" s="27" t="n">
        <v>9</v>
      </c>
      <c r="J853" s="27">
        <f>SUMPRODUCT(COUNTIFS(확률!$J$2:$J$46, 원본!B853:G853, 확률!$M$2:$M$46, "&lt;=20"))</f>
        <v/>
      </c>
      <c r="K853" s="27">
        <f>SUMPRODUCT(COUNTIFS(확률!$J$2:$J$46, 원본!B853:G853, 확률!$M$2:$M$46, "&gt;=36"))</f>
        <v/>
      </c>
      <c r="L853" s="27">
        <f>6-J853-K853</f>
        <v/>
      </c>
    </row>
    <row r="854" ht="16.4" customHeight="1" s="28">
      <c r="A854" s="31" t="n">
        <v>853</v>
      </c>
      <c r="B854" s="27" t="n">
        <v>2</v>
      </c>
      <c r="C854" s="27" t="n">
        <v>8</v>
      </c>
      <c r="D854" s="27" t="n">
        <v>23</v>
      </c>
      <c r="E854" s="27" t="n">
        <v>26</v>
      </c>
      <c r="F854" s="27" t="n">
        <v>27</v>
      </c>
      <c r="G854" s="27" t="n">
        <v>44</v>
      </c>
      <c r="H854" s="27" t="n">
        <v>13</v>
      </c>
      <c r="J854" s="27">
        <f>SUMPRODUCT(COUNTIFS(확률!$J$2:$J$46, 원본!B854:G854, 확률!$M$2:$M$46, "&lt;=20"))</f>
        <v/>
      </c>
      <c r="K854" s="27">
        <f>SUMPRODUCT(COUNTIFS(확률!$J$2:$J$46, 원본!B854:G854, 확률!$M$2:$M$46, "&gt;=36"))</f>
        <v/>
      </c>
      <c r="L854" s="27">
        <f>6-J854-K854</f>
        <v/>
      </c>
    </row>
    <row r="855" ht="16.4" customHeight="1" s="28">
      <c r="A855" s="31" t="n">
        <v>854</v>
      </c>
      <c r="B855" s="27" t="n">
        <v>20</v>
      </c>
      <c r="C855" s="27" t="n">
        <v>25</v>
      </c>
      <c r="D855" s="27" t="n">
        <v>31</v>
      </c>
      <c r="E855" s="27" t="n">
        <v>32</v>
      </c>
      <c r="F855" s="27" t="n">
        <v>36</v>
      </c>
      <c r="G855" s="27" t="n">
        <v>43</v>
      </c>
      <c r="H855" s="27" t="n">
        <v>3</v>
      </c>
      <c r="J855" s="27">
        <f>SUMPRODUCT(COUNTIFS(확률!$J$2:$J$46, 원본!B855:G855, 확률!$M$2:$M$46, "&lt;=20"))</f>
        <v/>
      </c>
      <c r="K855" s="27">
        <f>SUMPRODUCT(COUNTIFS(확률!$J$2:$J$46, 원본!B855:G855, 확률!$M$2:$M$46, "&gt;=36"))</f>
        <v/>
      </c>
      <c r="L855" s="27">
        <f>6-J855-K855</f>
        <v/>
      </c>
    </row>
    <row r="856" ht="16.4" customHeight="1" s="28">
      <c r="A856" s="31" t="n">
        <v>855</v>
      </c>
      <c r="B856" s="27" t="n">
        <v>8</v>
      </c>
      <c r="C856" s="27" t="n">
        <v>15</v>
      </c>
      <c r="D856" s="27" t="n">
        <v>17</v>
      </c>
      <c r="E856" s="27" t="n">
        <v>19</v>
      </c>
      <c r="F856" s="27" t="n">
        <v>43</v>
      </c>
      <c r="G856" s="27" t="n">
        <v>44</v>
      </c>
      <c r="H856" s="27" t="n">
        <v>7</v>
      </c>
      <c r="J856" s="27">
        <f>SUMPRODUCT(COUNTIFS(확률!$J$2:$J$46, 원본!B856:G856, 확률!$M$2:$M$46, "&lt;=20"))</f>
        <v/>
      </c>
      <c r="K856" s="27">
        <f>SUMPRODUCT(COUNTIFS(확률!$J$2:$J$46, 원본!B856:G856, 확률!$M$2:$M$46, "&gt;=36"))</f>
        <v/>
      </c>
      <c r="L856" s="27">
        <f>6-J856-K856</f>
        <v/>
      </c>
    </row>
    <row r="857" ht="16.4" customHeight="1" s="28">
      <c r="A857" s="31" t="n">
        <v>856</v>
      </c>
      <c r="B857" s="27" t="n">
        <v>10</v>
      </c>
      <c r="C857" s="27" t="n">
        <v>24</v>
      </c>
      <c r="D857" s="27" t="n">
        <v>40</v>
      </c>
      <c r="E857" s="27" t="n">
        <v>41</v>
      </c>
      <c r="F857" s="27" t="n">
        <v>43</v>
      </c>
      <c r="G857" s="27" t="n">
        <v>44</v>
      </c>
      <c r="H857" s="27" t="n">
        <v>17</v>
      </c>
      <c r="J857" s="27">
        <f>SUMPRODUCT(COUNTIFS(확률!$J$2:$J$46, 원본!B857:G857, 확률!$M$2:$M$46, "&lt;=20"))</f>
        <v/>
      </c>
      <c r="K857" s="27">
        <f>SUMPRODUCT(COUNTIFS(확률!$J$2:$J$46, 원본!B857:G857, 확률!$M$2:$M$46, "&gt;=36"))</f>
        <v/>
      </c>
      <c r="L857" s="27">
        <f>6-J857-K857</f>
        <v/>
      </c>
    </row>
    <row r="858" ht="16.4" customHeight="1" s="28">
      <c r="A858" s="31" t="n">
        <v>857</v>
      </c>
      <c r="B858" s="27" t="n">
        <v>6</v>
      </c>
      <c r="C858" s="27" t="n">
        <v>10</v>
      </c>
      <c r="D858" s="27" t="n">
        <v>16</v>
      </c>
      <c r="E858" s="27" t="n">
        <v>28</v>
      </c>
      <c r="F858" s="27" t="n">
        <v>34</v>
      </c>
      <c r="G858" s="27" t="n">
        <v>38</v>
      </c>
      <c r="H858" s="27" t="n">
        <v>43</v>
      </c>
      <c r="J858" s="27">
        <f>SUMPRODUCT(COUNTIFS(확률!$J$2:$J$46, 원본!B858:G858, 확률!$M$2:$M$46, "&lt;=20"))</f>
        <v/>
      </c>
      <c r="K858" s="27">
        <f>SUMPRODUCT(COUNTIFS(확률!$J$2:$J$46, 원본!B858:G858, 확률!$M$2:$M$46, "&gt;=36"))</f>
        <v/>
      </c>
      <c r="L858" s="27">
        <f>6-J858-K858</f>
        <v/>
      </c>
    </row>
    <row r="859" ht="16.4" customHeight="1" s="28">
      <c r="A859" s="31" t="n">
        <v>858</v>
      </c>
      <c r="B859" s="27" t="n">
        <v>9</v>
      </c>
      <c r="C859" s="27" t="n">
        <v>13</v>
      </c>
      <c r="D859" s="27" t="n">
        <v>32</v>
      </c>
      <c r="E859" s="27" t="n">
        <v>38</v>
      </c>
      <c r="F859" s="27" t="n">
        <v>39</v>
      </c>
      <c r="G859" s="27" t="n">
        <v>43</v>
      </c>
      <c r="H859" s="27" t="n">
        <v>23</v>
      </c>
      <c r="J859" s="27">
        <f>SUMPRODUCT(COUNTIFS(확률!$J$2:$J$46, 원본!B859:G859, 확률!$M$2:$M$46, "&lt;=20"))</f>
        <v/>
      </c>
      <c r="K859" s="27">
        <f>SUMPRODUCT(COUNTIFS(확률!$J$2:$J$46, 원본!B859:G859, 확률!$M$2:$M$46, "&gt;=36"))</f>
        <v/>
      </c>
      <c r="L859" s="27">
        <f>6-J859-K859</f>
        <v/>
      </c>
    </row>
    <row r="860" ht="16.4" customHeight="1" s="28">
      <c r="A860" s="31" t="n">
        <v>859</v>
      </c>
      <c r="B860" s="27" t="n">
        <v>8</v>
      </c>
      <c r="C860" s="27" t="n">
        <v>22</v>
      </c>
      <c r="D860" s="27" t="n">
        <v>35</v>
      </c>
      <c r="E860" s="27" t="n">
        <v>38</v>
      </c>
      <c r="F860" s="27" t="n">
        <v>39</v>
      </c>
      <c r="G860" s="27" t="n">
        <v>41</v>
      </c>
      <c r="H860" s="27" t="n">
        <v>24</v>
      </c>
      <c r="J860" s="27">
        <f>SUMPRODUCT(COUNTIFS(확률!$J$2:$J$46, 원본!B860:G860, 확률!$M$2:$M$46, "&lt;=20"))</f>
        <v/>
      </c>
      <c r="K860" s="27">
        <f>SUMPRODUCT(COUNTIFS(확률!$J$2:$J$46, 원본!B860:G860, 확률!$M$2:$M$46, "&gt;=36"))</f>
        <v/>
      </c>
      <c r="L860" s="27">
        <f>6-J860-K860</f>
        <v/>
      </c>
    </row>
    <row r="861" ht="16.4" customHeight="1" s="28">
      <c r="A861" s="31" t="n">
        <v>860</v>
      </c>
      <c r="B861" s="27" t="n">
        <v>4</v>
      </c>
      <c r="C861" s="27" t="n">
        <v>8</v>
      </c>
      <c r="D861" s="27" t="n">
        <v>18</v>
      </c>
      <c r="E861" s="27" t="n">
        <v>25</v>
      </c>
      <c r="F861" s="27" t="n">
        <v>27</v>
      </c>
      <c r="G861" s="27" t="n">
        <v>32</v>
      </c>
      <c r="H861" s="27" t="n">
        <v>42</v>
      </c>
      <c r="J861" s="27">
        <f>SUMPRODUCT(COUNTIFS(확률!$J$2:$J$46, 원본!B861:G861, 확률!$M$2:$M$46, "&lt;=20"))</f>
        <v/>
      </c>
      <c r="K861" s="27">
        <f>SUMPRODUCT(COUNTIFS(확률!$J$2:$J$46, 원본!B861:G861, 확률!$M$2:$M$46, "&gt;=36"))</f>
        <v/>
      </c>
      <c r="L861" s="27">
        <f>6-J861-K861</f>
        <v/>
      </c>
    </row>
    <row r="862" ht="16.4" customHeight="1" s="28">
      <c r="A862" s="31" t="n">
        <v>861</v>
      </c>
      <c r="B862" s="27" t="n">
        <v>11</v>
      </c>
      <c r="C862" s="27" t="n">
        <v>17</v>
      </c>
      <c r="D862" s="27" t="n">
        <v>19</v>
      </c>
      <c r="E862" s="27" t="n">
        <v>21</v>
      </c>
      <c r="F862" s="27" t="n">
        <v>22</v>
      </c>
      <c r="G862" s="27" t="n">
        <v>25</v>
      </c>
      <c r="H862" s="27" t="n">
        <v>24</v>
      </c>
      <c r="J862" s="27">
        <f>SUMPRODUCT(COUNTIFS(확률!$J$2:$J$46, 원본!B862:G862, 확률!$M$2:$M$46, "&lt;=20"))</f>
        <v/>
      </c>
      <c r="K862" s="27">
        <f>SUMPRODUCT(COUNTIFS(확률!$J$2:$J$46, 원본!B862:G862, 확률!$M$2:$M$46, "&gt;=36"))</f>
        <v/>
      </c>
      <c r="L862" s="27">
        <f>6-J862-K862</f>
        <v/>
      </c>
    </row>
    <row r="863" ht="16.4" customHeight="1" s="28">
      <c r="A863" s="31" t="n">
        <v>862</v>
      </c>
      <c r="B863" s="27" t="n">
        <v>10</v>
      </c>
      <c r="C863" s="27" t="n">
        <v>34</v>
      </c>
      <c r="D863" s="27" t="n">
        <v>38</v>
      </c>
      <c r="E863" s="27" t="n">
        <v>40</v>
      </c>
      <c r="F863" s="27" t="n">
        <v>42</v>
      </c>
      <c r="G863" s="27" t="n">
        <v>43</v>
      </c>
      <c r="H863" s="27" t="n">
        <v>32</v>
      </c>
      <c r="J863" s="27">
        <f>SUMPRODUCT(COUNTIFS(확률!$J$2:$J$46, 원본!B863:G863, 확률!$M$2:$M$46, "&lt;=20"))</f>
        <v/>
      </c>
      <c r="K863" s="27">
        <f>SUMPRODUCT(COUNTIFS(확률!$J$2:$J$46, 원본!B863:G863, 확률!$M$2:$M$46, "&gt;=36"))</f>
        <v/>
      </c>
      <c r="L863" s="27">
        <f>6-J863-K863</f>
        <v/>
      </c>
    </row>
    <row r="864" ht="16.4" customHeight="1" s="28">
      <c r="A864" s="31" t="n">
        <v>863</v>
      </c>
      <c r="B864" s="27" t="n">
        <v>16</v>
      </c>
      <c r="C864" s="27" t="n">
        <v>21</v>
      </c>
      <c r="D864" s="27" t="n">
        <v>28</v>
      </c>
      <c r="E864" s="27" t="n">
        <v>35</v>
      </c>
      <c r="F864" s="27" t="n">
        <v>39</v>
      </c>
      <c r="G864" s="27" t="n">
        <v>43</v>
      </c>
      <c r="H864" s="27" t="n">
        <v>12</v>
      </c>
      <c r="J864" s="27">
        <f>SUMPRODUCT(COUNTIFS(확률!$J$2:$J$46, 원본!B864:G864, 확률!$M$2:$M$46, "&lt;=20"))</f>
        <v/>
      </c>
      <c r="K864" s="27">
        <f>SUMPRODUCT(COUNTIFS(확률!$J$2:$J$46, 원본!B864:G864, 확률!$M$2:$M$46, "&gt;=36"))</f>
        <v/>
      </c>
      <c r="L864" s="27">
        <f>6-J864-K864</f>
        <v/>
      </c>
    </row>
    <row r="865" ht="16.4" customHeight="1" s="28">
      <c r="A865" s="31" t="n">
        <v>864</v>
      </c>
      <c r="B865" s="27" t="n">
        <v>3</v>
      </c>
      <c r="C865" s="27" t="n">
        <v>7</v>
      </c>
      <c r="D865" s="27" t="n">
        <v>10</v>
      </c>
      <c r="E865" s="27" t="n">
        <v>13</v>
      </c>
      <c r="F865" s="27" t="n">
        <v>25</v>
      </c>
      <c r="G865" s="27" t="n">
        <v>36</v>
      </c>
      <c r="H865" s="27" t="n">
        <v>32</v>
      </c>
      <c r="J865" s="27">
        <f>SUMPRODUCT(COUNTIFS(확률!$J$2:$J$46, 원본!B865:G865, 확률!$M$2:$M$46, "&lt;=20"))</f>
        <v/>
      </c>
      <c r="K865" s="27">
        <f>SUMPRODUCT(COUNTIFS(확률!$J$2:$J$46, 원본!B865:G865, 확률!$M$2:$M$46, "&gt;=36"))</f>
        <v/>
      </c>
      <c r="L865" s="27">
        <f>6-J865-K865</f>
        <v/>
      </c>
    </row>
    <row r="866" ht="16.4" customHeight="1" s="28">
      <c r="A866" s="31" t="n">
        <v>865</v>
      </c>
      <c r="B866" s="27" t="n">
        <v>3</v>
      </c>
      <c r="C866" s="27" t="n">
        <v>15</v>
      </c>
      <c r="D866" s="27" t="n">
        <v>22</v>
      </c>
      <c r="E866" s="27" t="n">
        <v>32</v>
      </c>
      <c r="F866" s="27" t="n">
        <v>33</v>
      </c>
      <c r="G866" s="27" t="n">
        <v>45</v>
      </c>
      <c r="H866" s="27" t="n">
        <v>2</v>
      </c>
      <c r="J866" s="27">
        <f>SUMPRODUCT(COUNTIFS(확률!$J$2:$J$46, 원본!B866:G866, 확률!$M$2:$M$46, "&lt;=20"))</f>
        <v/>
      </c>
      <c r="K866" s="27">
        <f>SUMPRODUCT(COUNTIFS(확률!$J$2:$J$46, 원본!B866:G866, 확률!$M$2:$M$46, "&gt;=36"))</f>
        <v/>
      </c>
      <c r="L866" s="27">
        <f>6-J866-K866</f>
        <v/>
      </c>
    </row>
    <row r="867" ht="16.4" customHeight="1" s="28">
      <c r="A867" s="31" t="n">
        <v>866</v>
      </c>
      <c r="B867" s="27" t="n">
        <v>9</v>
      </c>
      <c r="C867" s="27" t="n">
        <v>15</v>
      </c>
      <c r="D867" s="27" t="n">
        <v>29</v>
      </c>
      <c r="E867" s="27" t="n">
        <v>34</v>
      </c>
      <c r="F867" s="27" t="n">
        <v>37</v>
      </c>
      <c r="G867" s="27" t="n">
        <v>39</v>
      </c>
      <c r="H867" s="27" t="n">
        <v>12</v>
      </c>
      <c r="J867" s="27">
        <f>SUMPRODUCT(COUNTIFS(확률!$J$2:$J$46, 원본!B867:G867, 확률!$M$2:$M$46, "&lt;=20"))</f>
        <v/>
      </c>
      <c r="K867" s="27">
        <f>SUMPRODUCT(COUNTIFS(확률!$J$2:$J$46, 원본!B867:G867, 확률!$M$2:$M$46, "&gt;=36"))</f>
        <v/>
      </c>
      <c r="L867" s="27">
        <f>6-J867-K867</f>
        <v/>
      </c>
    </row>
    <row r="868" ht="16.4" customHeight="1" s="28">
      <c r="A868" s="31" t="n">
        <v>867</v>
      </c>
      <c r="B868" s="27" t="n">
        <v>14</v>
      </c>
      <c r="C868" s="27" t="n">
        <v>17</v>
      </c>
      <c r="D868" s="27" t="n">
        <v>19</v>
      </c>
      <c r="E868" s="27" t="n">
        <v>22</v>
      </c>
      <c r="F868" s="27" t="n">
        <v>24</v>
      </c>
      <c r="G868" s="27" t="n">
        <v>40</v>
      </c>
      <c r="H868" s="27" t="n">
        <v>41</v>
      </c>
      <c r="J868" s="27">
        <f>SUMPRODUCT(COUNTIFS(확률!$J$2:$J$46, 원본!B868:G868, 확률!$M$2:$M$46, "&lt;=20"))</f>
        <v/>
      </c>
      <c r="K868" s="27">
        <f>SUMPRODUCT(COUNTIFS(확률!$J$2:$J$46, 원본!B868:G868, 확률!$M$2:$M$46, "&gt;=36"))</f>
        <v/>
      </c>
      <c r="L868" s="27">
        <f>6-J868-K868</f>
        <v/>
      </c>
    </row>
    <row r="869" ht="16.4" customHeight="1" s="28">
      <c r="A869" s="31" t="n">
        <v>868</v>
      </c>
      <c r="B869" s="27" t="n">
        <v>12</v>
      </c>
      <c r="C869" s="27" t="n">
        <v>17</v>
      </c>
      <c r="D869" s="27" t="n">
        <v>28</v>
      </c>
      <c r="E869" s="27" t="n">
        <v>41</v>
      </c>
      <c r="F869" s="27" t="n">
        <v>43</v>
      </c>
      <c r="G869" s="27" t="n">
        <v>44</v>
      </c>
      <c r="H869" s="27" t="n">
        <v>25</v>
      </c>
      <c r="J869" s="27">
        <f>SUMPRODUCT(COUNTIFS(확률!$J$2:$J$46, 원본!B869:G869, 확률!$M$2:$M$46, "&lt;=20"))</f>
        <v/>
      </c>
      <c r="K869" s="27">
        <f>SUMPRODUCT(COUNTIFS(확률!$J$2:$J$46, 원본!B869:G869, 확률!$M$2:$M$46, "&gt;=36"))</f>
        <v/>
      </c>
      <c r="L869" s="27">
        <f>6-J869-K869</f>
        <v/>
      </c>
    </row>
    <row r="870" ht="16.4" customHeight="1" s="28">
      <c r="A870" s="31" t="n">
        <v>869</v>
      </c>
      <c r="B870" s="27" t="n">
        <v>2</v>
      </c>
      <c r="C870" s="27" t="n">
        <v>6</v>
      </c>
      <c r="D870" s="27" t="n">
        <v>20</v>
      </c>
      <c r="E870" s="27" t="n">
        <v>27</v>
      </c>
      <c r="F870" s="27" t="n">
        <v>37</v>
      </c>
      <c r="G870" s="27" t="n">
        <v>39</v>
      </c>
      <c r="H870" s="27" t="n">
        <v>4</v>
      </c>
      <c r="J870" s="27">
        <f>SUMPRODUCT(COUNTIFS(확률!$J$2:$J$46, 원본!B870:G870, 확률!$M$2:$M$46, "&lt;=20"))</f>
        <v/>
      </c>
      <c r="K870" s="27">
        <f>SUMPRODUCT(COUNTIFS(확률!$J$2:$J$46, 원본!B870:G870, 확률!$M$2:$M$46, "&gt;=36"))</f>
        <v/>
      </c>
      <c r="L870" s="27">
        <f>6-J870-K870</f>
        <v/>
      </c>
    </row>
    <row r="871" ht="16.4" customHeight="1" s="28">
      <c r="A871" s="31" t="n">
        <v>870</v>
      </c>
      <c r="B871" s="27" t="n">
        <v>21</v>
      </c>
      <c r="C871" s="27" t="n">
        <v>25</v>
      </c>
      <c r="D871" s="27" t="n">
        <v>30</v>
      </c>
      <c r="E871" s="27" t="n">
        <v>32</v>
      </c>
      <c r="F871" s="27" t="n">
        <v>40</v>
      </c>
      <c r="G871" s="27" t="n">
        <v>42</v>
      </c>
      <c r="H871" s="27" t="n">
        <v>31</v>
      </c>
      <c r="J871" s="27">
        <f>SUMPRODUCT(COUNTIFS(확률!$J$2:$J$46, 원본!B871:G871, 확률!$M$2:$M$46, "&lt;=20"))</f>
        <v/>
      </c>
      <c r="K871" s="27">
        <f>SUMPRODUCT(COUNTIFS(확률!$J$2:$J$46, 원본!B871:G871, 확률!$M$2:$M$46, "&gt;=36"))</f>
        <v/>
      </c>
      <c r="L871" s="27">
        <f>6-J871-K871</f>
        <v/>
      </c>
    </row>
    <row r="872" ht="16.4" customHeight="1" s="28">
      <c r="A872" s="31" t="n">
        <v>871</v>
      </c>
      <c r="B872" s="27" t="n">
        <v>2</v>
      </c>
      <c r="C872" s="27" t="n">
        <v>6</v>
      </c>
      <c r="D872" s="27" t="n">
        <v>12</v>
      </c>
      <c r="E872" s="27" t="n">
        <v>26</v>
      </c>
      <c r="F872" s="27" t="n">
        <v>30</v>
      </c>
      <c r="G872" s="27" t="n">
        <v>34</v>
      </c>
      <c r="H872" s="27" t="n">
        <v>38</v>
      </c>
      <c r="J872" s="27">
        <f>SUMPRODUCT(COUNTIFS(확률!$J$2:$J$46, 원본!B872:G872, 확률!$M$2:$M$46, "&lt;=20"))</f>
        <v/>
      </c>
      <c r="K872" s="27">
        <f>SUMPRODUCT(COUNTIFS(확률!$J$2:$J$46, 원본!B872:G872, 확률!$M$2:$M$46, "&gt;=36"))</f>
        <v/>
      </c>
      <c r="L872" s="27">
        <f>6-J872-K872</f>
        <v/>
      </c>
    </row>
    <row r="873" ht="16.4" customHeight="1" s="28">
      <c r="A873" s="31" t="n">
        <v>872</v>
      </c>
      <c r="B873" s="27" t="n">
        <v>2</v>
      </c>
      <c r="C873" s="27" t="n">
        <v>4</v>
      </c>
      <c r="D873" s="27" t="n">
        <v>30</v>
      </c>
      <c r="E873" s="27" t="n">
        <v>32</v>
      </c>
      <c r="F873" s="27" t="n">
        <v>33</v>
      </c>
      <c r="G873" s="27" t="n">
        <v>43</v>
      </c>
      <c r="H873" s="27" t="n">
        <v>29</v>
      </c>
      <c r="J873" s="27">
        <f>SUMPRODUCT(COUNTIFS(확률!$J$2:$J$46, 원본!B873:G873, 확률!$M$2:$M$46, "&lt;=20"))</f>
        <v/>
      </c>
      <c r="K873" s="27">
        <f>SUMPRODUCT(COUNTIFS(확률!$J$2:$J$46, 원본!B873:G873, 확률!$M$2:$M$46, "&gt;=36"))</f>
        <v/>
      </c>
      <c r="L873" s="27">
        <f>6-J873-K873</f>
        <v/>
      </c>
    </row>
    <row r="874" ht="16.4" customHeight="1" s="28">
      <c r="A874" s="31" t="n">
        <v>873</v>
      </c>
      <c r="B874" s="27" t="n">
        <v>3</v>
      </c>
      <c r="C874" s="27" t="n">
        <v>5</v>
      </c>
      <c r="D874" s="27" t="n">
        <v>12</v>
      </c>
      <c r="E874" s="27" t="n">
        <v>13</v>
      </c>
      <c r="F874" s="27" t="n">
        <v>33</v>
      </c>
      <c r="G874" s="27" t="n">
        <v>39</v>
      </c>
      <c r="H874" s="27" t="n">
        <v>38</v>
      </c>
      <c r="J874" s="27">
        <f>SUMPRODUCT(COUNTIFS(확률!$J$2:$J$46, 원본!B874:G874, 확률!$M$2:$M$46, "&lt;=20"))</f>
        <v/>
      </c>
      <c r="K874" s="27">
        <f>SUMPRODUCT(COUNTIFS(확률!$J$2:$J$46, 원본!B874:G874, 확률!$M$2:$M$46, "&gt;=36"))</f>
        <v/>
      </c>
      <c r="L874" s="27">
        <f>6-J874-K874</f>
        <v/>
      </c>
    </row>
    <row r="875" ht="16.4" customHeight="1" s="28">
      <c r="A875" s="31" t="n">
        <v>874</v>
      </c>
      <c r="B875" s="27" t="n">
        <v>1</v>
      </c>
      <c r="C875" s="27" t="n">
        <v>15</v>
      </c>
      <c r="D875" s="27" t="n">
        <v>19</v>
      </c>
      <c r="E875" s="27" t="n">
        <v>23</v>
      </c>
      <c r="F875" s="27" t="n">
        <v>28</v>
      </c>
      <c r="G875" s="27" t="n">
        <v>42</v>
      </c>
      <c r="H875" s="27" t="n">
        <v>32</v>
      </c>
      <c r="J875" s="27">
        <f>SUMPRODUCT(COUNTIFS(확률!$J$2:$J$46, 원본!B875:G875, 확률!$M$2:$M$46, "&lt;=20"))</f>
        <v/>
      </c>
      <c r="K875" s="27">
        <f>SUMPRODUCT(COUNTIFS(확률!$J$2:$J$46, 원본!B875:G875, 확률!$M$2:$M$46, "&gt;=36"))</f>
        <v/>
      </c>
      <c r="L875" s="27">
        <f>6-J875-K875</f>
        <v/>
      </c>
    </row>
    <row r="876" ht="16.4" customHeight="1" s="28">
      <c r="A876" s="31" t="n">
        <v>875</v>
      </c>
      <c r="B876" s="27" t="n">
        <v>19</v>
      </c>
      <c r="C876" s="27" t="n">
        <v>22</v>
      </c>
      <c r="D876" s="27" t="n">
        <v>30</v>
      </c>
      <c r="E876" s="27" t="n">
        <v>34</v>
      </c>
      <c r="F876" s="27" t="n">
        <v>39</v>
      </c>
      <c r="G876" s="27" t="n">
        <v>44</v>
      </c>
      <c r="H876" s="27" t="n">
        <v>36</v>
      </c>
      <c r="J876" s="27">
        <f>SUMPRODUCT(COUNTIFS(확률!$J$2:$J$46, 원본!B876:G876, 확률!$M$2:$M$46, "&lt;=20"))</f>
        <v/>
      </c>
      <c r="K876" s="27">
        <f>SUMPRODUCT(COUNTIFS(확률!$J$2:$J$46, 원본!B876:G876, 확률!$M$2:$M$46, "&gt;=36"))</f>
        <v/>
      </c>
      <c r="L876" s="27">
        <f>6-J876-K876</f>
        <v/>
      </c>
    </row>
    <row r="877" ht="16.4" customHeight="1" s="28">
      <c r="A877" s="31" t="n">
        <v>876</v>
      </c>
      <c r="B877" s="27" t="n">
        <v>5</v>
      </c>
      <c r="C877" s="27" t="n">
        <v>16</v>
      </c>
      <c r="D877" s="27" t="n">
        <v>21</v>
      </c>
      <c r="E877" s="27" t="n">
        <v>26</v>
      </c>
      <c r="F877" s="27" t="n">
        <v>34</v>
      </c>
      <c r="G877" s="27" t="n">
        <v>42</v>
      </c>
      <c r="H877" s="27" t="n">
        <v>24</v>
      </c>
      <c r="J877" s="27">
        <f>SUMPRODUCT(COUNTIFS(확률!$J$2:$J$46, 원본!B877:G877, 확률!$M$2:$M$46, "&lt;=20"))</f>
        <v/>
      </c>
      <c r="K877" s="27">
        <f>SUMPRODUCT(COUNTIFS(확률!$J$2:$J$46, 원본!B877:G877, 확률!$M$2:$M$46, "&gt;=36"))</f>
        <v/>
      </c>
      <c r="L877" s="27">
        <f>6-J877-K877</f>
        <v/>
      </c>
    </row>
    <row r="878" ht="16.4" customHeight="1" s="28">
      <c r="A878" s="31" t="n">
        <v>877</v>
      </c>
      <c r="B878" s="27" t="n">
        <v>5</v>
      </c>
      <c r="C878" s="27" t="n">
        <v>17</v>
      </c>
      <c r="D878" s="27" t="n">
        <v>18</v>
      </c>
      <c r="E878" s="27" t="n">
        <v>22</v>
      </c>
      <c r="F878" s="27" t="n">
        <v>23</v>
      </c>
      <c r="G878" s="27" t="n">
        <v>43</v>
      </c>
      <c r="H878" s="27" t="n">
        <v>12</v>
      </c>
      <c r="J878" s="27">
        <f>SUMPRODUCT(COUNTIFS(확률!$J$2:$J$46, 원본!B878:G878, 확률!$M$2:$M$46, "&lt;=20"))</f>
        <v/>
      </c>
      <c r="K878" s="27">
        <f>SUMPRODUCT(COUNTIFS(확률!$J$2:$J$46, 원본!B878:G878, 확률!$M$2:$M$46, "&gt;=36"))</f>
        <v/>
      </c>
      <c r="L878" s="27">
        <f>6-J878-K878</f>
        <v/>
      </c>
    </row>
    <row r="879" ht="16.4" customHeight="1" s="28">
      <c r="A879" s="31" t="n">
        <v>878</v>
      </c>
      <c r="B879" s="27" t="n">
        <v>2</v>
      </c>
      <c r="C879" s="27" t="n">
        <v>6</v>
      </c>
      <c r="D879" s="27" t="n">
        <v>11</v>
      </c>
      <c r="E879" s="27" t="n">
        <v>16</v>
      </c>
      <c r="F879" s="27" t="n">
        <v>25</v>
      </c>
      <c r="G879" s="27" t="n">
        <v>31</v>
      </c>
      <c r="H879" s="27" t="n">
        <v>3</v>
      </c>
      <c r="J879" s="27">
        <f>SUMPRODUCT(COUNTIFS(확률!$J$2:$J$46, 원본!B879:G879, 확률!$M$2:$M$46, "&lt;=20"))</f>
        <v/>
      </c>
      <c r="K879" s="27">
        <f>SUMPRODUCT(COUNTIFS(확률!$J$2:$J$46, 원본!B879:G879, 확률!$M$2:$M$46, "&gt;=36"))</f>
        <v/>
      </c>
      <c r="L879" s="27">
        <f>6-J879-K879</f>
        <v/>
      </c>
    </row>
    <row r="880" ht="16.4" customHeight="1" s="28">
      <c r="A880" s="31" t="n">
        <v>879</v>
      </c>
      <c r="B880" s="27" t="n">
        <v>1</v>
      </c>
      <c r="C880" s="27" t="n">
        <v>4</v>
      </c>
      <c r="D880" s="27" t="n">
        <v>10</v>
      </c>
      <c r="E880" s="27" t="n">
        <v>14</v>
      </c>
      <c r="F880" s="27" t="n">
        <v>15</v>
      </c>
      <c r="G880" s="27" t="n">
        <v>35</v>
      </c>
      <c r="H880" s="27" t="n">
        <v>20</v>
      </c>
      <c r="J880" s="27">
        <f>SUMPRODUCT(COUNTIFS(확률!$J$2:$J$46, 원본!B880:G880, 확률!$M$2:$M$46, "&lt;=20"))</f>
        <v/>
      </c>
      <c r="K880" s="27">
        <f>SUMPRODUCT(COUNTIFS(확률!$J$2:$J$46, 원본!B880:G880, 확률!$M$2:$M$46, "&gt;=36"))</f>
        <v/>
      </c>
      <c r="L880" s="27">
        <f>6-J880-K880</f>
        <v/>
      </c>
    </row>
    <row r="881" ht="16.4" customHeight="1" s="28">
      <c r="A881" s="31" t="n">
        <v>880</v>
      </c>
      <c r="B881" s="27" t="n">
        <v>7</v>
      </c>
      <c r="C881" s="27" t="n">
        <v>17</v>
      </c>
      <c r="D881" s="27" t="n">
        <v>19</v>
      </c>
      <c r="E881" s="27" t="n">
        <v>23</v>
      </c>
      <c r="F881" s="27" t="n">
        <v>24</v>
      </c>
      <c r="G881" s="27" t="n">
        <v>45</v>
      </c>
      <c r="H881" s="27" t="n">
        <v>38</v>
      </c>
      <c r="J881" s="27">
        <f>SUMPRODUCT(COUNTIFS(확률!$J$2:$J$46, 원본!B881:G881, 확률!$M$2:$M$46, "&lt;=20"))</f>
        <v/>
      </c>
      <c r="K881" s="27">
        <f>SUMPRODUCT(COUNTIFS(확률!$J$2:$J$46, 원본!B881:G881, 확률!$M$2:$M$46, "&gt;=36"))</f>
        <v/>
      </c>
      <c r="L881" s="27">
        <f>6-J881-K881</f>
        <v/>
      </c>
    </row>
    <row r="882" ht="16.4" customHeight="1" s="28">
      <c r="A882" s="31" t="n">
        <v>881</v>
      </c>
      <c r="B882" s="27" t="n">
        <v>4</v>
      </c>
      <c r="C882" s="27" t="n">
        <v>18</v>
      </c>
      <c r="D882" s="27" t="n">
        <v>20</v>
      </c>
      <c r="E882" s="27" t="n">
        <v>26</v>
      </c>
      <c r="F882" s="27" t="n">
        <v>27</v>
      </c>
      <c r="G882" s="27" t="n">
        <v>32</v>
      </c>
      <c r="H882" s="27" t="n">
        <v>9</v>
      </c>
      <c r="J882" s="27">
        <f>SUMPRODUCT(COUNTIFS(확률!$J$2:$J$46, 원본!B882:G882, 확률!$M$2:$M$46, "&lt;=20"))</f>
        <v/>
      </c>
      <c r="K882" s="27">
        <f>SUMPRODUCT(COUNTIFS(확률!$J$2:$J$46, 원본!B882:G882, 확률!$M$2:$M$46, "&gt;=36"))</f>
        <v/>
      </c>
      <c r="L882" s="27">
        <f>6-J882-K882</f>
        <v/>
      </c>
    </row>
    <row r="883" ht="16.4" customHeight="1" s="28">
      <c r="A883" s="31" t="n">
        <v>882</v>
      </c>
      <c r="B883" s="27" t="n">
        <v>18</v>
      </c>
      <c r="C883" s="27" t="n">
        <v>34</v>
      </c>
      <c r="D883" s="27" t="n">
        <v>39</v>
      </c>
      <c r="E883" s="27" t="n">
        <v>43</v>
      </c>
      <c r="F883" s="27" t="n">
        <v>44</v>
      </c>
      <c r="G883" s="27" t="n">
        <v>45</v>
      </c>
      <c r="H883" s="27" t="n">
        <v>23</v>
      </c>
      <c r="J883" s="27">
        <f>SUMPRODUCT(COUNTIFS(확률!$J$2:$J$46, 원본!B883:G883, 확률!$M$2:$M$46, "&lt;=20"))</f>
        <v/>
      </c>
      <c r="K883" s="27">
        <f>SUMPRODUCT(COUNTIFS(확률!$J$2:$J$46, 원본!B883:G883, 확률!$M$2:$M$46, "&gt;=36"))</f>
        <v/>
      </c>
      <c r="L883" s="27">
        <f>6-J883-K883</f>
        <v/>
      </c>
    </row>
    <row r="884" ht="16.4" customHeight="1" s="28">
      <c r="A884" s="31" t="n">
        <v>883</v>
      </c>
      <c r="B884" s="27" t="n">
        <v>9</v>
      </c>
      <c r="C884" s="27" t="n">
        <v>18</v>
      </c>
      <c r="D884" s="27" t="n">
        <v>32</v>
      </c>
      <c r="E884" s="27" t="n">
        <v>33</v>
      </c>
      <c r="F884" s="27" t="n">
        <v>37</v>
      </c>
      <c r="G884" s="27" t="n">
        <v>44</v>
      </c>
      <c r="H884" s="27" t="n">
        <v>22</v>
      </c>
      <c r="J884" s="27">
        <f>SUMPRODUCT(COUNTIFS(확률!$J$2:$J$46, 원본!B884:G884, 확률!$M$2:$M$46, "&lt;=20"))</f>
        <v/>
      </c>
      <c r="K884" s="27">
        <f>SUMPRODUCT(COUNTIFS(확률!$J$2:$J$46, 원본!B884:G884, 확률!$M$2:$M$46, "&gt;=36"))</f>
        <v/>
      </c>
      <c r="L884" s="27">
        <f>6-J884-K884</f>
        <v/>
      </c>
    </row>
    <row r="885" ht="16.4" customHeight="1" s="28">
      <c r="A885" s="31" t="n">
        <v>884</v>
      </c>
      <c r="B885" s="27" t="n">
        <v>4</v>
      </c>
      <c r="C885" s="27" t="n">
        <v>14</v>
      </c>
      <c r="D885" s="27" t="n">
        <v>23</v>
      </c>
      <c r="E885" s="27" t="n">
        <v>28</v>
      </c>
      <c r="F885" s="27" t="n">
        <v>37</v>
      </c>
      <c r="G885" s="27" t="n">
        <v>45</v>
      </c>
      <c r="H885" s="27" t="n">
        <v>17</v>
      </c>
      <c r="J885" s="27">
        <f>SUMPRODUCT(COUNTIFS(확률!$J$2:$J$46, 원본!B885:G885, 확률!$M$2:$M$46, "&lt;=20"))</f>
        <v/>
      </c>
      <c r="K885" s="27">
        <f>SUMPRODUCT(COUNTIFS(확률!$J$2:$J$46, 원본!B885:G885, 확률!$M$2:$M$46, "&gt;=36"))</f>
        <v/>
      </c>
      <c r="L885" s="27">
        <f>6-J885-K885</f>
        <v/>
      </c>
    </row>
    <row r="886" ht="16.4" customHeight="1" s="28">
      <c r="A886" s="31" t="n">
        <v>885</v>
      </c>
      <c r="B886" s="27" t="n">
        <v>1</v>
      </c>
      <c r="C886" s="27" t="n">
        <v>3</v>
      </c>
      <c r="D886" s="27" t="n">
        <v>24</v>
      </c>
      <c r="E886" s="27" t="n">
        <v>27</v>
      </c>
      <c r="F886" s="27" t="n">
        <v>39</v>
      </c>
      <c r="G886" s="27" t="n">
        <v>45</v>
      </c>
      <c r="H886" s="27" t="n">
        <v>31</v>
      </c>
      <c r="J886" s="27">
        <f>SUMPRODUCT(COUNTIFS(확률!$J$2:$J$46, 원본!B886:G886, 확률!$M$2:$M$46, "&lt;=20"))</f>
        <v/>
      </c>
      <c r="K886" s="27">
        <f>SUMPRODUCT(COUNTIFS(확률!$J$2:$J$46, 원본!B886:G886, 확률!$M$2:$M$46, "&gt;=36"))</f>
        <v/>
      </c>
      <c r="L886" s="27">
        <f>6-J886-K886</f>
        <v/>
      </c>
    </row>
    <row r="887" ht="16.4" customHeight="1" s="28">
      <c r="A887" s="31" t="n">
        <v>886</v>
      </c>
      <c r="B887" s="27" t="n">
        <v>19</v>
      </c>
      <c r="C887" s="27" t="n">
        <v>23</v>
      </c>
      <c r="D887" s="27" t="n">
        <v>28</v>
      </c>
      <c r="E887" s="27" t="n">
        <v>37</v>
      </c>
      <c r="F887" s="27" t="n">
        <v>42</v>
      </c>
      <c r="G887" s="27" t="n">
        <v>45</v>
      </c>
      <c r="H887" s="27" t="n">
        <v>2</v>
      </c>
      <c r="J887" s="27">
        <f>SUMPRODUCT(COUNTIFS(확률!$J$2:$J$46, 원본!B887:G887, 확률!$M$2:$M$46, "&lt;=20"))</f>
        <v/>
      </c>
      <c r="K887" s="27">
        <f>SUMPRODUCT(COUNTIFS(확률!$J$2:$J$46, 원본!B887:G887, 확률!$M$2:$M$46, "&gt;=36"))</f>
        <v/>
      </c>
      <c r="L887" s="27">
        <f>6-J887-K887</f>
        <v/>
      </c>
    </row>
    <row r="888" ht="16.4" customHeight="1" s="28">
      <c r="A888" s="31" t="n">
        <v>887</v>
      </c>
      <c r="B888" s="27" t="n">
        <v>8</v>
      </c>
      <c r="C888" s="27" t="n">
        <v>14</v>
      </c>
      <c r="D888" s="27" t="n">
        <v>17</v>
      </c>
      <c r="E888" s="27" t="n">
        <v>27</v>
      </c>
      <c r="F888" s="27" t="n">
        <v>36</v>
      </c>
      <c r="G888" s="27" t="n">
        <v>45</v>
      </c>
      <c r="H888" s="27" t="n">
        <v>10</v>
      </c>
      <c r="J888" s="27">
        <f>SUMPRODUCT(COUNTIFS(확률!$J$2:$J$46, 원본!B888:G888, 확률!$M$2:$M$46, "&lt;=20"))</f>
        <v/>
      </c>
      <c r="K888" s="27">
        <f>SUMPRODUCT(COUNTIFS(확률!$J$2:$J$46, 원본!B888:G888, 확률!$M$2:$M$46, "&gt;=36"))</f>
        <v/>
      </c>
      <c r="L888" s="27">
        <f>6-J888-K888</f>
        <v/>
      </c>
    </row>
    <row r="889" ht="16.4" customHeight="1" s="28">
      <c r="A889" s="31" t="n">
        <v>888</v>
      </c>
      <c r="B889" s="27" t="n">
        <v>3</v>
      </c>
      <c r="C889" s="27" t="n">
        <v>7</v>
      </c>
      <c r="D889" s="27" t="n">
        <v>12</v>
      </c>
      <c r="E889" s="27" t="n">
        <v>31</v>
      </c>
      <c r="F889" s="27" t="n">
        <v>34</v>
      </c>
      <c r="G889" s="27" t="n">
        <v>38</v>
      </c>
      <c r="H889" s="27" t="n">
        <v>32</v>
      </c>
      <c r="J889" s="27">
        <f>SUMPRODUCT(COUNTIFS(확률!$J$2:$J$46, 원본!B889:G889, 확률!$M$2:$M$46, "&lt;=20"))</f>
        <v/>
      </c>
      <c r="K889" s="27">
        <f>SUMPRODUCT(COUNTIFS(확률!$J$2:$J$46, 원본!B889:G889, 확률!$M$2:$M$46, "&gt;=36"))</f>
        <v/>
      </c>
      <c r="L889" s="27">
        <f>6-J889-K889</f>
        <v/>
      </c>
    </row>
    <row r="890" ht="16.4" customHeight="1" s="28">
      <c r="A890" s="31" t="n">
        <v>889</v>
      </c>
      <c r="B890" s="27" t="n">
        <v>3</v>
      </c>
      <c r="C890" s="27" t="n">
        <v>13</v>
      </c>
      <c r="D890" s="27" t="n">
        <v>29</v>
      </c>
      <c r="E890" s="27" t="n">
        <v>38</v>
      </c>
      <c r="F890" s="27" t="n">
        <v>39</v>
      </c>
      <c r="G890" s="27" t="n">
        <v>42</v>
      </c>
      <c r="H890" s="27" t="n">
        <v>26</v>
      </c>
      <c r="J890" s="27">
        <f>SUMPRODUCT(COUNTIFS(확률!$J$2:$J$46, 원본!B890:G890, 확률!$M$2:$M$46, "&lt;=20"))</f>
        <v/>
      </c>
      <c r="K890" s="27">
        <f>SUMPRODUCT(COUNTIFS(확률!$J$2:$J$46, 원본!B890:G890, 확률!$M$2:$M$46, "&gt;=36"))</f>
        <v/>
      </c>
      <c r="L890" s="27">
        <f>6-J890-K890</f>
        <v/>
      </c>
    </row>
    <row r="891" ht="16.4" customHeight="1" s="28">
      <c r="A891" s="31" t="n">
        <v>890</v>
      </c>
      <c r="B891" s="27" t="n">
        <v>1</v>
      </c>
      <c r="C891" s="27" t="n">
        <v>4</v>
      </c>
      <c r="D891" s="27" t="n">
        <v>14</v>
      </c>
      <c r="E891" s="27" t="n">
        <v>18</v>
      </c>
      <c r="F891" s="27" t="n">
        <v>29</v>
      </c>
      <c r="G891" s="27" t="n">
        <v>37</v>
      </c>
      <c r="H891" s="27" t="n">
        <v>6</v>
      </c>
      <c r="J891" s="27">
        <f>SUMPRODUCT(COUNTIFS(확률!$J$2:$J$46, 원본!B891:G891, 확률!$M$2:$M$46, "&lt;=20"))</f>
        <v/>
      </c>
      <c r="K891" s="27">
        <f>SUMPRODUCT(COUNTIFS(확률!$J$2:$J$46, 원본!B891:G891, 확률!$M$2:$M$46, "&gt;=36"))</f>
        <v/>
      </c>
      <c r="L891" s="27">
        <f>6-J891-K891</f>
        <v/>
      </c>
    </row>
    <row r="892" ht="16.4" customHeight="1" s="28">
      <c r="A892" s="31" t="n">
        <v>891</v>
      </c>
      <c r="B892" s="27" t="n">
        <v>9</v>
      </c>
      <c r="C892" s="27" t="n">
        <v>13</v>
      </c>
      <c r="D892" s="27" t="n">
        <v>28</v>
      </c>
      <c r="E892" s="27" t="n">
        <v>31</v>
      </c>
      <c r="F892" s="27" t="n">
        <v>39</v>
      </c>
      <c r="G892" s="27" t="n">
        <v>41</v>
      </c>
      <c r="H892" s="27" t="n">
        <v>19</v>
      </c>
      <c r="J892" s="27">
        <f>SUMPRODUCT(COUNTIFS(확률!$J$2:$J$46, 원본!B892:G892, 확률!$M$2:$M$46, "&lt;=20"))</f>
        <v/>
      </c>
      <c r="K892" s="27">
        <f>SUMPRODUCT(COUNTIFS(확률!$J$2:$J$46, 원본!B892:G892, 확률!$M$2:$M$46, "&gt;=36"))</f>
        <v/>
      </c>
      <c r="L892" s="27">
        <f>6-J892-K892</f>
        <v/>
      </c>
    </row>
    <row r="893" ht="16.4" customHeight="1" s="28">
      <c r="A893" s="31" t="n">
        <v>892</v>
      </c>
      <c r="B893" s="27" t="n">
        <v>4</v>
      </c>
      <c r="C893" s="27" t="n">
        <v>9</v>
      </c>
      <c r="D893" s="27" t="n">
        <v>17</v>
      </c>
      <c r="E893" s="27" t="n">
        <v>18</v>
      </c>
      <c r="F893" s="27" t="n">
        <v>26</v>
      </c>
      <c r="G893" s="27" t="n">
        <v>42</v>
      </c>
      <c r="H893" s="27" t="n">
        <v>36</v>
      </c>
      <c r="J893" s="27">
        <f>SUMPRODUCT(COUNTIFS(확률!$J$2:$J$46, 원본!B893:G893, 확률!$M$2:$M$46, "&lt;=20"))</f>
        <v/>
      </c>
      <c r="K893" s="27">
        <f>SUMPRODUCT(COUNTIFS(확률!$J$2:$J$46, 원본!B893:G893, 확률!$M$2:$M$46, "&gt;=36"))</f>
        <v/>
      </c>
      <c r="L893" s="27">
        <f>6-J893-K893</f>
        <v/>
      </c>
    </row>
    <row r="894" ht="16.4" customHeight="1" s="28">
      <c r="A894" s="31" t="n">
        <v>893</v>
      </c>
      <c r="B894" s="27" t="n">
        <v>1</v>
      </c>
      <c r="C894" s="27" t="n">
        <v>15</v>
      </c>
      <c r="D894" s="27" t="n">
        <v>17</v>
      </c>
      <c r="E894" s="27" t="n">
        <v>23</v>
      </c>
      <c r="F894" s="27" t="n">
        <v>25</v>
      </c>
      <c r="G894" s="27" t="n">
        <v>41</v>
      </c>
      <c r="H894" s="27" t="n">
        <v>10</v>
      </c>
      <c r="J894" s="27">
        <f>SUMPRODUCT(COUNTIFS(확률!$J$2:$J$46, 원본!B894:G894, 확률!$M$2:$M$46, "&lt;=20"))</f>
        <v/>
      </c>
      <c r="K894" s="27">
        <f>SUMPRODUCT(COUNTIFS(확률!$J$2:$J$46, 원본!B894:G894, 확률!$M$2:$M$46, "&gt;=36"))</f>
        <v/>
      </c>
      <c r="L894" s="27">
        <f>6-J894-K894</f>
        <v/>
      </c>
    </row>
    <row r="895" ht="16.4" customHeight="1" s="28">
      <c r="A895" s="31" t="n">
        <v>894</v>
      </c>
      <c r="B895" s="27" t="n">
        <v>19</v>
      </c>
      <c r="C895" s="27" t="n">
        <v>32</v>
      </c>
      <c r="D895" s="27" t="n">
        <v>37</v>
      </c>
      <c r="E895" s="27" t="n">
        <v>40</v>
      </c>
      <c r="F895" s="27" t="n">
        <v>41</v>
      </c>
      <c r="G895" s="27" t="n">
        <v>43</v>
      </c>
      <c r="H895" s="27" t="n">
        <v>45</v>
      </c>
      <c r="J895" s="27">
        <f>SUMPRODUCT(COUNTIFS(확률!$J$2:$J$46, 원본!B895:G895, 확률!$M$2:$M$46, "&lt;=20"))</f>
        <v/>
      </c>
      <c r="K895" s="27">
        <f>SUMPRODUCT(COUNTIFS(확률!$J$2:$J$46, 원본!B895:G895, 확률!$M$2:$M$46, "&gt;=36"))</f>
        <v/>
      </c>
      <c r="L895" s="27">
        <f>6-J895-K895</f>
        <v/>
      </c>
    </row>
    <row r="896" ht="16.4" customHeight="1" s="28">
      <c r="A896" s="31" t="n">
        <v>895</v>
      </c>
      <c r="B896" s="27" t="n">
        <v>16</v>
      </c>
      <c r="C896" s="27" t="n">
        <v>26</v>
      </c>
      <c r="D896" s="27" t="n">
        <v>31</v>
      </c>
      <c r="E896" s="27" t="n">
        <v>38</v>
      </c>
      <c r="F896" s="27" t="n">
        <v>39</v>
      </c>
      <c r="G896" s="27" t="n">
        <v>41</v>
      </c>
      <c r="H896" s="27" t="n">
        <v>23</v>
      </c>
      <c r="J896" s="27">
        <f>SUMPRODUCT(COUNTIFS(확률!$J$2:$J$46, 원본!B896:G896, 확률!$M$2:$M$46, "&lt;=20"))</f>
        <v/>
      </c>
      <c r="K896" s="27">
        <f>SUMPRODUCT(COUNTIFS(확률!$J$2:$J$46, 원본!B896:G896, 확률!$M$2:$M$46, "&gt;=36"))</f>
        <v/>
      </c>
      <c r="L896" s="27">
        <f>6-J896-K896</f>
        <v/>
      </c>
    </row>
    <row r="897" ht="16.4" customHeight="1" s="28">
      <c r="A897" s="31" t="n">
        <v>896</v>
      </c>
      <c r="B897" s="27" t="n">
        <v>5</v>
      </c>
      <c r="C897" s="27" t="n">
        <v>12</v>
      </c>
      <c r="D897" s="27" t="n">
        <v>25</v>
      </c>
      <c r="E897" s="27" t="n">
        <v>26</v>
      </c>
      <c r="F897" s="27" t="n">
        <v>38</v>
      </c>
      <c r="G897" s="27" t="n">
        <v>45</v>
      </c>
      <c r="H897" s="27" t="n">
        <v>23</v>
      </c>
      <c r="J897" s="27">
        <f>SUMPRODUCT(COUNTIFS(확률!$J$2:$J$46, 원본!B897:G897, 확률!$M$2:$M$46, "&lt;=20"))</f>
        <v/>
      </c>
      <c r="K897" s="27">
        <f>SUMPRODUCT(COUNTIFS(확률!$J$2:$J$46, 원본!B897:G897, 확률!$M$2:$M$46, "&gt;=36"))</f>
        <v/>
      </c>
      <c r="L897" s="27">
        <f>6-J897-K897</f>
        <v/>
      </c>
    </row>
    <row r="898" ht="16.4" customHeight="1" s="28">
      <c r="A898" s="31" t="n">
        <v>897</v>
      </c>
      <c r="B898" s="27" t="n">
        <v>6</v>
      </c>
      <c r="C898" s="27" t="n">
        <v>7</v>
      </c>
      <c r="D898" s="27" t="n">
        <v>12</v>
      </c>
      <c r="E898" s="27" t="n">
        <v>22</v>
      </c>
      <c r="F898" s="27" t="n">
        <v>26</v>
      </c>
      <c r="G898" s="27" t="n">
        <v>36</v>
      </c>
      <c r="H898" s="27" t="n">
        <v>29</v>
      </c>
      <c r="J898" s="27">
        <f>SUMPRODUCT(COUNTIFS(확률!$J$2:$J$46, 원본!B898:G898, 확률!$M$2:$M$46, "&lt;=20"))</f>
        <v/>
      </c>
      <c r="K898" s="27">
        <f>SUMPRODUCT(COUNTIFS(확률!$J$2:$J$46, 원본!B898:G898, 확률!$M$2:$M$46, "&gt;=36"))</f>
        <v/>
      </c>
      <c r="L898" s="27">
        <f>6-J898-K898</f>
        <v/>
      </c>
    </row>
    <row r="899" ht="16.4" customHeight="1" s="28">
      <c r="A899" s="31" t="n">
        <v>898</v>
      </c>
      <c r="B899" s="27" t="n">
        <v>18</v>
      </c>
      <c r="C899" s="27" t="n">
        <v>21</v>
      </c>
      <c r="D899" s="27" t="n">
        <v>28</v>
      </c>
      <c r="E899" s="27" t="n">
        <v>35</v>
      </c>
      <c r="F899" s="27" t="n">
        <v>37</v>
      </c>
      <c r="G899" s="27" t="n">
        <v>42</v>
      </c>
      <c r="H899" s="27" t="n">
        <v>17</v>
      </c>
      <c r="J899" s="27">
        <f>SUMPRODUCT(COUNTIFS(확률!$J$2:$J$46, 원본!B899:G899, 확률!$M$2:$M$46, "&lt;=20"))</f>
        <v/>
      </c>
      <c r="K899" s="27">
        <f>SUMPRODUCT(COUNTIFS(확률!$J$2:$J$46, 원본!B899:G899, 확률!$M$2:$M$46, "&gt;=36"))</f>
        <v/>
      </c>
      <c r="L899" s="27">
        <f>6-J899-K899</f>
        <v/>
      </c>
    </row>
    <row r="900" ht="16.4" customHeight="1" s="28">
      <c r="A900" s="31" t="n">
        <v>899</v>
      </c>
      <c r="B900" s="27" t="n">
        <v>8</v>
      </c>
      <c r="C900" s="27" t="n">
        <v>19</v>
      </c>
      <c r="D900" s="27" t="n">
        <v>20</v>
      </c>
      <c r="E900" s="27" t="n">
        <v>21</v>
      </c>
      <c r="F900" s="27" t="n">
        <v>33</v>
      </c>
      <c r="G900" s="27" t="n">
        <v>39</v>
      </c>
      <c r="H900" s="27" t="n">
        <v>37</v>
      </c>
      <c r="J900" s="27">
        <f>SUMPRODUCT(COUNTIFS(확률!$J$2:$J$46, 원본!B900:G900, 확률!$M$2:$M$46, "&lt;=20"))</f>
        <v/>
      </c>
      <c r="K900" s="27">
        <f>SUMPRODUCT(COUNTIFS(확률!$J$2:$J$46, 원본!B900:G900, 확률!$M$2:$M$46, "&gt;=36"))</f>
        <v/>
      </c>
      <c r="L900" s="27">
        <f>6-J900-K900</f>
        <v/>
      </c>
    </row>
    <row r="901" ht="16.4" customHeight="1" s="28">
      <c r="A901" s="31" t="n">
        <v>900</v>
      </c>
      <c r="B901" s="27" t="n">
        <v>7</v>
      </c>
      <c r="C901" s="27" t="n">
        <v>13</v>
      </c>
      <c r="D901" s="27" t="n">
        <v>16</v>
      </c>
      <c r="E901" s="27" t="n">
        <v>18</v>
      </c>
      <c r="F901" s="27" t="n">
        <v>35</v>
      </c>
      <c r="G901" s="27" t="n">
        <v>38</v>
      </c>
      <c r="H901" s="27" t="n">
        <v>14</v>
      </c>
      <c r="J901" s="27">
        <f>SUMPRODUCT(COUNTIFS(확률!$J$2:$J$46, 원본!B901:G901, 확률!$M$2:$M$46, "&lt;=20"))</f>
        <v/>
      </c>
      <c r="K901" s="27">
        <f>SUMPRODUCT(COUNTIFS(확률!$J$2:$J$46, 원본!B901:G901, 확률!$M$2:$M$46, "&gt;=36"))</f>
        <v/>
      </c>
      <c r="L901" s="27">
        <f>6-J901-K901</f>
        <v/>
      </c>
    </row>
    <row r="902" ht="16.4" customHeight="1" s="28">
      <c r="A902" s="31" t="n">
        <v>901</v>
      </c>
      <c r="B902" s="27" t="n">
        <v>5</v>
      </c>
      <c r="C902" s="27" t="n">
        <v>18</v>
      </c>
      <c r="D902" s="27" t="n">
        <v>20</v>
      </c>
      <c r="E902" s="27" t="n">
        <v>23</v>
      </c>
      <c r="F902" s="27" t="n">
        <v>30</v>
      </c>
      <c r="G902" s="27" t="n">
        <v>34</v>
      </c>
      <c r="H902" s="27" t="n">
        <v>21</v>
      </c>
      <c r="J902" s="27">
        <f>SUMPRODUCT(COUNTIFS(확률!$J$2:$J$46, 원본!B902:G902, 확률!$M$2:$M$46, "&lt;=20"))</f>
        <v/>
      </c>
      <c r="K902" s="27">
        <f>SUMPRODUCT(COUNTIFS(확률!$J$2:$J$46, 원본!B902:G902, 확률!$M$2:$M$46, "&gt;=36"))</f>
        <v/>
      </c>
      <c r="L902" s="27">
        <f>6-J902-K902</f>
        <v/>
      </c>
    </row>
    <row r="903" ht="16.4" customHeight="1" s="28">
      <c r="A903" s="31" t="n">
        <v>902</v>
      </c>
      <c r="B903" s="27" t="n">
        <v>7</v>
      </c>
      <c r="C903" s="27" t="n">
        <v>19</v>
      </c>
      <c r="D903" s="27" t="n">
        <v>23</v>
      </c>
      <c r="E903" s="27" t="n">
        <v>24</v>
      </c>
      <c r="F903" s="27" t="n">
        <v>36</v>
      </c>
      <c r="G903" s="27" t="n">
        <v>39</v>
      </c>
      <c r="H903" s="27" t="n">
        <v>30</v>
      </c>
      <c r="J903" s="27">
        <f>SUMPRODUCT(COUNTIFS(확률!$J$2:$J$46, 원본!B903:G903, 확률!$M$2:$M$46, "&lt;=20"))</f>
        <v/>
      </c>
      <c r="K903" s="27">
        <f>SUMPRODUCT(COUNTIFS(확률!$J$2:$J$46, 원본!B903:G903, 확률!$M$2:$M$46, "&gt;=36"))</f>
        <v/>
      </c>
      <c r="L903" s="27">
        <f>6-J903-K903</f>
        <v/>
      </c>
    </row>
    <row r="904" ht="16.4" customHeight="1" s="28">
      <c r="A904" s="31" t="n">
        <v>903</v>
      </c>
      <c r="B904" s="27" t="n">
        <v>2</v>
      </c>
      <c r="C904" s="27" t="n">
        <v>15</v>
      </c>
      <c r="D904" s="27" t="n">
        <v>16</v>
      </c>
      <c r="E904" s="27" t="n">
        <v>21</v>
      </c>
      <c r="F904" s="27" t="n">
        <v>22</v>
      </c>
      <c r="G904" s="27" t="n">
        <v>28</v>
      </c>
      <c r="H904" s="27" t="n">
        <v>45</v>
      </c>
      <c r="J904" s="27">
        <f>SUMPRODUCT(COUNTIFS(확률!$J$2:$J$46, 원본!B904:G904, 확률!$M$2:$M$46, "&lt;=20"))</f>
        <v/>
      </c>
      <c r="K904" s="27">
        <f>SUMPRODUCT(COUNTIFS(확률!$J$2:$J$46, 원본!B904:G904, 확률!$M$2:$M$46, "&gt;=36"))</f>
        <v/>
      </c>
      <c r="L904" s="27">
        <f>6-J904-K904</f>
        <v/>
      </c>
    </row>
    <row r="905" ht="16.4" customHeight="1" s="28">
      <c r="A905" s="31" t="n">
        <v>904</v>
      </c>
      <c r="B905" s="27" t="n">
        <v>2</v>
      </c>
      <c r="C905" s="27" t="n">
        <v>6</v>
      </c>
      <c r="D905" s="27" t="n">
        <v>8</v>
      </c>
      <c r="E905" s="27" t="n">
        <v>26</v>
      </c>
      <c r="F905" s="27" t="n">
        <v>43</v>
      </c>
      <c r="G905" s="27" t="n">
        <v>45</v>
      </c>
      <c r="H905" s="27" t="n">
        <v>11</v>
      </c>
      <c r="J905" s="27">
        <f>SUMPRODUCT(COUNTIFS(확률!$J$2:$J$46, 원본!B905:G905, 확률!$M$2:$M$46, "&lt;=20"))</f>
        <v/>
      </c>
      <c r="K905" s="27">
        <f>SUMPRODUCT(COUNTIFS(확률!$J$2:$J$46, 원본!B905:G905, 확률!$M$2:$M$46, "&gt;=36"))</f>
        <v/>
      </c>
      <c r="L905" s="27">
        <f>6-J905-K905</f>
        <v/>
      </c>
    </row>
    <row r="906" ht="16.4" customHeight="1" s="28">
      <c r="A906" s="31" t="n">
        <v>905</v>
      </c>
      <c r="B906" s="27" t="n">
        <v>3</v>
      </c>
      <c r="C906" s="27" t="n">
        <v>4</v>
      </c>
      <c r="D906" s="27" t="n">
        <v>16</v>
      </c>
      <c r="E906" s="27" t="n">
        <v>27</v>
      </c>
      <c r="F906" s="27" t="n">
        <v>38</v>
      </c>
      <c r="G906" s="27" t="n">
        <v>40</v>
      </c>
      <c r="H906" s="27" t="n">
        <v>20</v>
      </c>
      <c r="J906" s="27">
        <f>SUMPRODUCT(COUNTIFS(확률!$J$2:$J$46, 원본!B906:G906, 확률!$M$2:$M$46, "&lt;=20"))</f>
        <v/>
      </c>
      <c r="K906" s="27">
        <f>SUMPRODUCT(COUNTIFS(확률!$J$2:$J$46, 원본!B906:G906, 확률!$M$2:$M$46, "&gt;=36"))</f>
        <v/>
      </c>
      <c r="L906" s="27">
        <f>6-J906-K906</f>
        <v/>
      </c>
    </row>
    <row r="907" ht="16.4" customHeight="1" s="28">
      <c r="A907" s="31" t="n">
        <v>906</v>
      </c>
      <c r="B907" s="27" t="n">
        <v>2</v>
      </c>
      <c r="C907" s="27" t="n">
        <v>5</v>
      </c>
      <c r="D907" s="27" t="n">
        <v>14</v>
      </c>
      <c r="E907" s="27" t="n">
        <v>28</v>
      </c>
      <c r="F907" s="27" t="n">
        <v>31</v>
      </c>
      <c r="G907" s="27" t="n">
        <v>32</v>
      </c>
      <c r="H907" s="27" t="n">
        <v>20</v>
      </c>
      <c r="J907" s="27">
        <f>SUMPRODUCT(COUNTIFS(확률!$J$2:$J$46, 원본!B907:G907, 확률!$M$2:$M$46, "&lt;=20"))</f>
        <v/>
      </c>
      <c r="K907" s="27">
        <f>SUMPRODUCT(COUNTIFS(확률!$J$2:$J$46, 원본!B907:G907, 확률!$M$2:$M$46, "&gt;=36"))</f>
        <v/>
      </c>
      <c r="L907" s="27">
        <f>6-J907-K907</f>
        <v/>
      </c>
    </row>
    <row r="908" ht="16.4" customHeight="1" s="28">
      <c r="A908" s="31" t="n">
        <v>907</v>
      </c>
      <c r="B908" s="27" t="n">
        <v>21</v>
      </c>
      <c r="C908" s="27" t="n">
        <v>27</v>
      </c>
      <c r="D908" s="27" t="n">
        <v>29</v>
      </c>
      <c r="E908" s="27" t="n">
        <v>38</v>
      </c>
      <c r="F908" s="27" t="n">
        <v>40</v>
      </c>
      <c r="G908" s="27" t="n">
        <v>44</v>
      </c>
      <c r="H908" s="27" t="n">
        <v>37</v>
      </c>
      <c r="J908" s="27">
        <f>SUMPRODUCT(COUNTIFS(확률!$J$2:$J$46, 원본!B908:G908, 확률!$M$2:$M$46, "&lt;=20"))</f>
        <v/>
      </c>
      <c r="K908" s="27">
        <f>SUMPRODUCT(COUNTIFS(확률!$J$2:$J$46, 원본!B908:G908, 확률!$M$2:$M$46, "&gt;=36"))</f>
        <v/>
      </c>
      <c r="L908" s="27">
        <f>6-J908-K908</f>
        <v/>
      </c>
    </row>
    <row r="909" ht="16.4" customHeight="1" s="28">
      <c r="A909" s="31" t="n">
        <v>908</v>
      </c>
      <c r="B909" s="27" t="n">
        <v>3</v>
      </c>
      <c r="C909" s="27" t="n">
        <v>16</v>
      </c>
      <c r="D909" s="27" t="n">
        <v>21</v>
      </c>
      <c r="E909" s="27" t="n">
        <v>22</v>
      </c>
      <c r="F909" s="27" t="n">
        <v>23</v>
      </c>
      <c r="G909" s="27" t="n">
        <v>44</v>
      </c>
      <c r="H909" s="27" t="n">
        <v>30</v>
      </c>
      <c r="J909" s="27">
        <f>SUMPRODUCT(COUNTIFS(확률!$J$2:$J$46, 원본!B909:G909, 확률!$M$2:$M$46, "&lt;=20"))</f>
        <v/>
      </c>
      <c r="K909" s="27">
        <f>SUMPRODUCT(COUNTIFS(확률!$J$2:$J$46, 원본!B909:G909, 확률!$M$2:$M$46, "&gt;=36"))</f>
        <v/>
      </c>
      <c r="L909" s="27">
        <f>6-J909-K909</f>
        <v/>
      </c>
    </row>
    <row r="910" ht="16.4" customHeight="1" s="28">
      <c r="A910" s="31" t="n">
        <v>909</v>
      </c>
      <c r="B910" s="27" t="n">
        <v>7</v>
      </c>
      <c r="C910" s="27" t="n">
        <v>24</v>
      </c>
      <c r="D910" s="27" t="n">
        <v>29</v>
      </c>
      <c r="E910" s="27" t="n">
        <v>30</v>
      </c>
      <c r="F910" s="27" t="n">
        <v>34</v>
      </c>
      <c r="G910" s="27" t="n">
        <v>35</v>
      </c>
      <c r="H910" s="27" t="n">
        <v>33</v>
      </c>
      <c r="J910" s="27">
        <f>SUMPRODUCT(COUNTIFS(확률!$J$2:$J$46, 원본!B910:G910, 확률!$M$2:$M$46, "&lt;=20"))</f>
        <v/>
      </c>
      <c r="K910" s="27">
        <f>SUMPRODUCT(COUNTIFS(확률!$J$2:$J$46, 원본!B910:G910, 확률!$M$2:$M$46, "&gt;=36"))</f>
        <v/>
      </c>
      <c r="L910" s="27">
        <f>6-J910-K910</f>
        <v/>
      </c>
    </row>
    <row r="911" ht="16.4" customHeight="1" s="28">
      <c r="A911" s="31" t="n">
        <v>910</v>
      </c>
      <c r="B911" s="27" t="n">
        <v>1</v>
      </c>
      <c r="C911" s="27" t="n">
        <v>11</v>
      </c>
      <c r="D911" s="27" t="n">
        <v>17</v>
      </c>
      <c r="E911" s="27" t="n">
        <v>27</v>
      </c>
      <c r="F911" s="27" t="n">
        <v>35</v>
      </c>
      <c r="G911" s="27" t="n">
        <v>39</v>
      </c>
      <c r="H911" s="27" t="n">
        <v>31</v>
      </c>
      <c r="J911" s="27">
        <f>SUMPRODUCT(COUNTIFS(확률!$J$2:$J$46, 원본!B911:G911, 확률!$M$2:$M$46, "&lt;=20"))</f>
        <v/>
      </c>
      <c r="K911" s="27">
        <f>SUMPRODUCT(COUNTIFS(확률!$J$2:$J$46, 원본!B911:G911, 확률!$M$2:$M$46, "&gt;=36"))</f>
        <v/>
      </c>
      <c r="L911" s="27">
        <f>6-J911-K911</f>
        <v/>
      </c>
    </row>
    <row r="912" ht="16.4" customHeight="1" s="28">
      <c r="A912" s="31" t="n">
        <v>911</v>
      </c>
      <c r="B912" s="27" t="n">
        <v>4</v>
      </c>
      <c r="C912" s="27" t="n">
        <v>5</v>
      </c>
      <c r="D912" s="27" t="n">
        <v>12</v>
      </c>
      <c r="E912" s="27" t="n">
        <v>14</v>
      </c>
      <c r="F912" s="27" t="n">
        <v>32</v>
      </c>
      <c r="G912" s="27" t="n">
        <v>42</v>
      </c>
      <c r="H912" s="27" t="n">
        <v>35</v>
      </c>
      <c r="J912" s="27">
        <f>SUMPRODUCT(COUNTIFS(확률!$J$2:$J$46, 원본!B912:G912, 확률!$M$2:$M$46, "&lt;=20"))</f>
        <v/>
      </c>
      <c r="K912" s="27">
        <f>SUMPRODUCT(COUNTIFS(확률!$J$2:$J$46, 원본!B912:G912, 확률!$M$2:$M$46, "&gt;=36"))</f>
        <v/>
      </c>
      <c r="L912" s="27">
        <f>6-J912-K912</f>
        <v/>
      </c>
    </row>
    <row r="913" ht="16.4" customHeight="1" s="28">
      <c r="A913" s="31" t="n">
        <v>912</v>
      </c>
      <c r="B913" s="27" t="n">
        <v>5</v>
      </c>
      <c r="C913" s="27" t="n">
        <v>8</v>
      </c>
      <c r="D913" s="27" t="n">
        <v>18</v>
      </c>
      <c r="E913" s="27" t="n">
        <v>21</v>
      </c>
      <c r="F913" s="27" t="n">
        <v>22</v>
      </c>
      <c r="G913" s="27" t="n">
        <v>38</v>
      </c>
      <c r="H913" s="27" t="n">
        <v>10</v>
      </c>
      <c r="J913" s="27">
        <f>SUMPRODUCT(COUNTIFS(확률!$J$2:$J$46, 원본!B913:G913, 확률!$M$2:$M$46, "&lt;=20"))</f>
        <v/>
      </c>
      <c r="K913" s="27">
        <f>SUMPRODUCT(COUNTIFS(확률!$J$2:$J$46, 원본!B913:G913, 확률!$M$2:$M$46, "&gt;=36"))</f>
        <v/>
      </c>
      <c r="L913" s="27">
        <f>6-J913-K913</f>
        <v/>
      </c>
    </row>
    <row r="914" ht="16.4" customHeight="1" s="28">
      <c r="A914" s="31" t="n">
        <v>913</v>
      </c>
      <c r="B914" s="27" t="n">
        <v>6</v>
      </c>
      <c r="C914" s="27" t="n">
        <v>14</v>
      </c>
      <c r="D914" s="27" t="n">
        <v>16</v>
      </c>
      <c r="E914" s="27" t="n">
        <v>21</v>
      </c>
      <c r="F914" s="27" t="n">
        <v>27</v>
      </c>
      <c r="G914" s="27" t="n">
        <v>37</v>
      </c>
      <c r="H914" s="27" t="n">
        <v>40</v>
      </c>
      <c r="J914" s="27">
        <f>SUMPRODUCT(COUNTIFS(확률!$J$2:$J$46, 원본!B914:G914, 확률!$M$2:$M$46, "&lt;=20"))</f>
        <v/>
      </c>
      <c r="K914" s="27">
        <f>SUMPRODUCT(COUNTIFS(확률!$J$2:$J$46, 원본!B914:G914, 확률!$M$2:$M$46, "&gt;=36"))</f>
        <v/>
      </c>
      <c r="L914" s="27">
        <f>6-J914-K914</f>
        <v/>
      </c>
    </row>
    <row r="915" ht="16.4" customHeight="1" s="28">
      <c r="A915" s="31" t="n">
        <v>914</v>
      </c>
      <c r="B915" s="27" t="n">
        <v>16</v>
      </c>
      <c r="C915" s="27" t="n">
        <v>19</v>
      </c>
      <c r="D915" s="27" t="n">
        <v>24</v>
      </c>
      <c r="E915" s="27" t="n">
        <v>33</v>
      </c>
      <c r="F915" s="27" t="n">
        <v>42</v>
      </c>
      <c r="G915" s="27" t="n">
        <v>44</v>
      </c>
      <c r="H915" s="27" t="n">
        <v>27</v>
      </c>
      <c r="J915" s="27">
        <f>SUMPRODUCT(COUNTIFS(확률!$J$2:$J$46, 원본!B915:G915, 확률!$M$2:$M$46, "&lt;=20"))</f>
        <v/>
      </c>
      <c r="K915" s="27">
        <f>SUMPRODUCT(COUNTIFS(확률!$J$2:$J$46, 원본!B915:G915, 확률!$M$2:$M$46, "&gt;=36"))</f>
        <v/>
      </c>
      <c r="L915" s="27">
        <f>6-J915-K915</f>
        <v/>
      </c>
    </row>
    <row r="916" ht="16.4" customHeight="1" s="28">
      <c r="A916" s="31" t="n">
        <v>915</v>
      </c>
      <c r="B916" s="27" t="n">
        <v>2</v>
      </c>
      <c r="C916" s="27" t="n">
        <v>6</v>
      </c>
      <c r="D916" s="27" t="n">
        <v>11</v>
      </c>
      <c r="E916" s="27" t="n">
        <v>13</v>
      </c>
      <c r="F916" s="27" t="n">
        <v>22</v>
      </c>
      <c r="G916" s="27" t="n">
        <v>37</v>
      </c>
      <c r="H916" s="27" t="n">
        <v>14</v>
      </c>
      <c r="J916" s="27">
        <f>SUMPRODUCT(COUNTIFS(확률!$J$2:$J$46, 원본!B916:G916, 확률!$M$2:$M$46, "&lt;=20"))</f>
        <v/>
      </c>
      <c r="K916" s="27">
        <f>SUMPRODUCT(COUNTIFS(확률!$J$2:$J$46, 원본!B916:G916, 확률!$M$2:$M$46, "&gt;=36"))</f>
        <v/>
      </c>
      <c r="L916" s="27">
        <f>6-J916-K916</f>
        <v/>
      </c>
    </row>
    <row r="917" ht="16.4" customHeight="1" s="28">
      <c r="A917" s="31" t="n">
        <v>916</v>
      </c>
      <c r="B917" s="27" t="n">
        <v>6</v>
      </c>
      <c r="C917" s="27" t="n">
        <v>21</v>
      </c>
      <c r="D917" s="27" t="n">
        <v>22</v>
      </c>
      <c r="E917" s="27" t="n">
        <v>32</v>
      </c>
      <c r="F917" s="27" t="n">
        <v>35</v>
      </c>
      <c r="G917" s="27" t="n">
        <v>36</v>
      </c>
      <c r="H917" s="27" t="n">
        <v>17</v>
      </c>
      <c r="J917" s="27">
        <f>SUMPRODUCT(COUNTIFS(확률!$J$2:$J$46, 원본!B917:G917, 확률!$M$2:$M$46, "&lt;=20"))</f>
        <v/>
      </c>
      <c r="K917" s="27">
        <f>SUMPRODUCT(COUNTIFS(확률!$J$2:$J$46, 원본!B917:G917, 확률!$M$2:$M$46, "&gt;=36"))</f>
        <v/>
      </c>
      <c r="L917" s="27">
        <f>6-J917-K917</f>
        <v/>
      </c>
    </row>
    <row r="918" ht="16.4" customHeight="1" s="28">
      <c r="A918" s="31" t="n">
        <v>917</v>
      </c>
      <c r="B918" s="27" t="n">
        <v>1</v>
      </c>
      <c r="C918" s="27" t="n">
        <v>3</v>
      </c>
      <c r="D918" s="27" t="n">
        <v>23</v>
      </c>
      <c r="E918" s="27" t="n">
        <v>24</v>
      </c>
      <c r="F918" s="27" t="n">
        <v>27</v>
      </c>
      <c r="G918" s="27" t="n">
        <v>43</v>
      </c>
      <c r="H918" s="27" t="n">
        <v>34</v>
      </c>
      <c r="J918" s="27">
        <f>SUMPRODUCT(COUNTIFS(확률!$J$2:$J$46, 원본!B918:G918, 확률!$M$2:$M$46, "&lt;=20"))</f>
        <v/>
      </c>
      <c r="K918" s="27">
        <f>SUMPRODUCT(COUNTIFS(확률!$J$2:$J$46, 원본!B918:G918, 확률!$M$2:$M$46, "&gt;=36"))</f>
        <v/>
      </c>
      <c r="L918" s="27">
        <f>6-J918-K918</f>
        <v/>
      </c>
    </row>
    <row r="919" ht="16.4" customHeight="1" s="28">
      <c r="A919" s="31" t="n">
        <v>918</v>
      </c>
      <c r="B919" s="27" t="n">
        <v>7</v>
      </c>
      <c r="C919" s="27" t="n">
        <v>11</v>
      </c>
      <c r="D919" s="27" t="n">
        <v>12</v>
      </c>
      <c r="E919" s="27" t="n">
        <v>31</v>
      </c>
      <c r="F919" s="27" t="n">
        <v>33</v>
      </c>
      <c r="G919" s="27" t="n">
        <v>38</v>
      </c>
      <c r="H919" s="27" t="n">
        <v>5</v>
      </c>
      <c r="J919" s="27">
        <f>SUMPRODUCT(COUNTIFS(확률!$J$2:$J$46, 원본!B919:G919, 확률!$M$2:$M$46, "&lt;=20"))</f>
        <v/>
      </c>
      <c r="K919" s="27">
        <f>SUMPRODUCT(COUNTIFS(확률!$J$2:$J$46, 원본!B919:G919, 확률!$M$2:$M$46, "&gt;=36"))</f>
        <v/>
      </c>
      <c r="L919" s="27">
        <f>6-J919-K919</f>
        <v/>
      </c>
    </row>
    <row r="920" ht="16.4" customHeight="1" s="28">
      <c r="A920" s="31" t="n">
        <v>919</v>
      </c>
      <c r="B920" s="27" t="n">
        <v>9</v>
      </c>
      <c r="C920" s="27" t="n">
        <v>14</v>
      </c>
      <c r="D920" s="27" t="n">
        <v>17</v>
      </c>
      <c r="E920" s="27" t="n">
        <v>18</v>
      </c>
      <c r="F920" s="27" t="n">
        <v>42</v>
      </c>
      <c r="G920" s="27" t="n">
        <v>44</v>
      </c>
      <c r="H920" s="27" t="n">
        <v>35</v>
      </c>
      <c r="J920" s="27">
        <f>SUMPRODUCT(COUNTIFS(확률!$J$2:$J$46, 원본!B920:G920, 확률!$M$2:$M$46, "&lt;=20"))</f>
        <v/>
      </c>
      <c r="K920" s="27">
        <f>SUMPRODUCT(COUNTIFS(확률!$J$2:$J$46, 원본!B920:G920, 확률!$M$2:$M$46, "&gt;=36"))</f>
        <v/>
      </c>
      <c r="L920" s="27">
        <f>6-J920-K920</f>
        <v/>
      </c>
    </row>
    <row r="921" ht="16.4" customHeight="1" s="28">
      <c r="A921" s="31" t="n">
        <v>920</v>
      </c>
      <c r="B921" s="27" t="n">
        <v>2</v>
      </c>
      <c r="C921" s="27" t="n">
        <v>3</v>
      </c>
      <c r="D921" s="27" t="n">
        <v>26</v>
      </c>
      <c r="E921" s="27" t="n">
        <v>33</v>
      </c>
      <c r="F921" s="27" t="n">
        <v>34</v>
      </c>
      <c r="G921" s="27" t="n">
        <v>43</v>
      </c>
      <c r="H921" s="27" t="n">
        <v>29</v>
      </c>
      <c r="J921" s="27">
        <f>SUMPRODUCT(COUNTIFS(확률!$J$2:$J$46, 원본!B921:G921, 확률!$M$2:$M$46, "&lt;=20"))</f>
        <v/>
      </c>
      <c r="K921" s="27">
        <f>SUMPRODUCT(COUNTIFS(확률!$J$2:$J$46, 원본!B921:G921, 확률!$M$2:$M$46, "&gt;=36"))</f>
        <v/>
      </c>
      <c r="L921" s="27">
        <f>6-J921-K921</f>
        <v/>
      </c>
    </row>
    <row r="922" ht="16.4" customHeight="1" s="28">
      <c r="A922" s="31" t="n">
        <v>921</v>
      </c>
      <c r="B922" s="27" t="n">
        <v>5</v>
      </c>
      <c r="C922" s="27" t="n">
        <v>7</v>
      </c>
      <c r="D922" s="27" t="n">
        <v>12</v>
      </c>
      <c r="E922" s="27" t="n">
        <v>22</v>
      </c>
      <c r="F922" s="27" t="n">
        <v>28</v>
      </c>
      <c r="G922" s="27" t="n">
        <v>41</v>
      </c>
      <c r="H922" s="27" t="n">
        <v>1</v>
      </c>
      <c r="J922" s="27">
        <f>SUMPRODUCT(COUNTIFS(확률!$J$2:$J$46, 원본!B922:G922, 확률!$M$2:$M$46, "&lt;=20"))</f>
        <v/>
      </c>
      <c r="K922" s="27">
        <f>SUMPRODUCT(COUNTIFS(확률!$J$2:$J$46, 원본!B922:G922, 확률!$M$2:$M$46, "&gt;=36"))</f>
        <v/>
      </c>
      <c r="L922" s="27">
        <f>6-J922-K922</f>
        <v/>
      </c>
    </row>
    <row r="923" ht="16.4" customHeight="1" s="28">
      <c r="A923" s="31" t="n">
        <v>922</v>
      </c>
      <c r="B923" s="27" t="n">
        <v>2</v>
      </c>
      <c r="C923" s="27" t="n">
        <v>6</v>
      </c>
      <c r="D923" s="27" t="n">
        <v>13</v>
      </c>
      <c r="E923" s="27" t="n">
        <v>17</v>
      </c>
      <c r="F923" s="27" t="n">
        <v>27</v>
      </c>
      <c r="G923" s="27" t="n">
        <v>43</v>
      </c>
      <c r="H923" s="27" t="n">
        <v>36</v>
      </c>
      <c r="J923" s="27">
        <f>SUMPRODUCT(COUNTIFS(확률!$J$2:$J$46, 원본!B923:G923, 확률!$M$2:$M$46, "&lt;=20"))</f>
        <v/>
      </c>
      <c r="K923" s="27">
        <f>SUMPRODUCT(COUNTIFS(확률!$J$2:$J$46, 원본!B923:G923, 확률!$M$2:$M$46, "&gt;=36"))</f>
        <v/>
      </c>
      <c r="L923" s="27">
        <f>6-J923-K923</f>
        <v/>
      </c>
    </row>
    <row r="924" ht="16.4" customHeight="1" s="28">
      <c r="A924" s="31" t="n">
        <v>923</v>
      </c>
      <c r="B924" s="27" t="n">
        <v>3</v>
      </c>
      <c r="C924" s="27" t="n">
        <v>17</v>
      </c>
      <c r="D924" s="27" t="n">
        <v>18</v>
      </c>
      <c r="E924" s="27" t="n">
        <v>23</v>
      </c>
      <c r="F924" s="27" t="n">
        <v>36</v>
      </c>
      <c r="G924" s="27" t="n">
        <v>41</v>
      </c>
      <c r="H924" s="27" t="n">
        <v>26</v>
      </c>
      <c r="J924" s="27">
        <f>SUMPRODUCT(COUNTIFS(확률!$J$2:$J$46, 원본!B924:G924, 확률!$M$2:$M$46, "&lt;=20"))</f>
        <v/>
      </c>
      <c r="K924" s="27">
        <f>SUMPRODUCT(COUNTIFS(확률!$J$2:$J$46, 원본!B924:G924, 확률!$M$2:$M$46, "&gt;=36"))</f>
        <v/>
      </c>
      <c r="L924" s="27">
        <f>6-J924-K924</f>
        <v/>
      </c>
    </row>
    <row r="925" ht="16.4" customHeight="1" s="28">
      <c r="A925" s="31" t="n">
        <v>924</v>
      </c>
      <c r="B925" s="27" t="n">
        <v>3</v>
      </c>
      <c r="C925" s="27" t="n">
        <v>11</v>
      </c>
      <c r="D925" s="27" t="n">
        <v>34</v>
      </c>
      <c r="E925" s="27" t="n">
        <v>42</v>
      </c>
      <c r="F925" s="27" t="n">
        <v>43</v>
      </c>
      <c r="G925" s="27" t="n">
        <v>44</v>
      </c>
      <c r="H925" s="27" t="n">
        <v>13</v>
      </c>
      <c r="J925" s="27">
        <f>SUMPRODUCT(COUNTIFS(확률!$J$2:$J$46, 원본!B925:G925, 확률!$M$2:$M$46, "&lt;=20"))</f>
        <v/>
      </c>
      <c r="K925" s="27">
        <f>SUMPRODUCT(COUNTIFS(확률!$J$2:$J$46, 원본!B925:G925, 확률!$M$2:$M$46, "&gt;=36"))</f>
        <v/>
      </c>
      <c r="L925" s="27">
        <f>6-J925-K925</f>
        <v/>
      </c>
    </row>
    <row r="926" ht="16.4" customHeight="1" s="28">
      <c r="A926" s="31" t="n">
        <v>925</v>
      </c>
      <c r="B926" s="27" t="n">
        <v>13</v>
      </c>
      <c r="C926" s="27" t="n">
        <v>24</v>
      </c>
      <c r="D926" s="27" t="n">
        <v>32</v>
      </c>
      <c r="E926" s="27" t="n">
        <v>34</v>
      </c>
      <c r="F926" s="27" t="n">
        <v>39</v>
      </c>
      <c r="G926" s="27" t="n">
        <v>42</v>
      </c>
      <c r="H926" s="27" t="n">
        <v>4</v>
      </c>
      <c r="J926" s="27">
        <f>SUMPRODUCT(COUNTIFS(확률!$J$2:$J$46, 원본!B926:G926, 확률!$M$2:$M$46, "&lt;=20"))</f>
        <v/>
      </c>
      <c r="K926" s="27">
        <f>SUMPRODUCT(COUNTIFS(확률!$J$2:$J$46, 원본!B926:G926, 확률!$M$2:$M$46, "&gt;=36"))</f>
        <v/>
      </c>
      <c r="L926" s="27">
        <f>6-J926-K926</f>
        <v/>
      </c>
    </row>
    <row r="927" ht="16.4" customHeight="1" s="28">
      <c r="A927" s="31" t="n">
        <v>926</v>
      </c>
      <c r="B927" s="27" t="n">
        <v>10</v>
      </c>
      <c r="C927" s="27" t="n">
        <v>16</v>
      </c>
      <c r="D927" s="27" t="n">
        <v>18</v>
      </c>
      <c r="E927" s="27" t="n">
        <v>20</v>
      </c>
      <c r="F927" s="27" t="n">
        <v>25</v>
      </c>
      <c r="G927" s="27" t="n">
        <v>31</v>
      </c>
      <c r="H927" s="27" t="n">
        <v>6</v>
      </c>
      <c r="J927" s="27">
        <f>SUMPRODUCT(COUNTIFS(확률!$J$2:$J$46, 원본!B927:G927, 확률!$M$2:$M$46, "&lt;=20"))</f>
        <v/>
      </c>
      <c r="K927" s="27">
        <f>SUMPRODUCT(COUNTIFS(확률!$J$2:$J$46, 원본!B927:G927, 확률!$M$2:$M$46, "&gt;=36"))</f>
        <v/>
      </c>
      <c r="L927" s="27">
        <f>6-J927-K927</f>
        <v/>
      </c>
    </row>
    <row r="928" ht="16.4" customHeight="1" s="28">
      <c r="A928" s="31" t="n">
        <v>927</v>
      </c>
      <c r="B928" s="27" t="n">
        <v>4</v>
      </c>
      <c r="C928" s="27" t="n">
        <v>15</v>
      </c>
      <c r="D928" s="27" t="n">
        <v>22</v>
      </c>
      <c r="E928" s="27" t="n">
        <v>38</v>
      </c>
      <c r="F928" s="27" t="n">
        <v>41</v>
      </c>
      <c r="G928" s="27" t="n">
        <v>43</v>
      </c>
      <c r="H928" s="27" t="n">
        <v>26</v>
      </c>
      <c r="J928" s="27">
        <f>SUMPRODUCT(COUNTIFS(확률!$J$2:$J$46, 원본!B928:G928, 확률!$M$2:$M$46, "&lt;=20"))</f>
        <v/>
      </c>
      <c r="K928" s="27">
        <f>SUMPRODUCT(COUNTIFS(확률!$J$2:$J$46, 원본!B928:G928, 확률!$M$2:$M$46, "&gt;=36"))</f>
        <v/>
      </c>
      <c r="L928" s="27">
        <f>6-J928-K928</f>
        <v/>
      </c>
    </row>
    <row r="929" ht="16.4" customHeight="1" s="28">
      <c r="A929" s="31" t="n">
        <v>928</v>
      </c>
      <c r="B929" s="27" t="n">
        <v>3</v>
      </c>
      <c r="C929" s="27" t="n">
        <v>4</v>
      </c>
      <c r="D929" s="27" t="n">
        <v>10</v>
      </c>
      <c r="E929" s="27" t="n">
        <v>20</v>
      </c>
      <c r="F929" s="27" t="n">
        <v>28</v>
      </c>
      <c r="G929" s="27" t="n">
        <v>44</v>
      </c>
      <c r="H929" s="27" t="n">
        <v>30</v>
      </c>
      <c r="J929" s="27">
        <f>SUMPRODUCT(COUNTIFS(확률!$J$2:$J$46, 원본!B929:G929, 확률!$M$2:$M$46, "&lt;=20"))</f>
        <v/>
      </c>
      <c r="K929" s="27">
        <f>SUMPRODUCT(COUNTIFS(확률!$J$2:$J$46, 원본!B929:G929, 확률!$M$2:$M$46, "&gt;=36"))</f>
        <v/>
      </c>
      <c r="L929" s="27">
        <f>6-J929-K929</f>
        <v/>
      </c>
    </row>
    <row r="930" ht="16.4" customHeight="1" s="28">
      <c r="A930" s="31" t="n">
        <v>929</v>
      </c>
      <c r="B930" s="27" t="n">
        <v>7</v>
      </c>
      <c r="C930" s="27" t="n">
        <v>9</v>
      </c>
      <c r="D930" s="27" t="n">
        <v>12</v>
      </c>
      <c r="E930" s="27" t="n">
        <v>15</v>
      </c>
      <c r="F930" s="27" t="n">
        <v>19</v>
      </c>
      <c r="G930" s="27" t="n">
        <v>23</v>
      </c>
      <c r="H930" s="27" t="n">
        <v>4</v>
      </c>
      <c r="J930" s="27">
        <f>SUMPRODUCT(COUNTIFS(확률!$J$2:$J$46, 원본!B930:G930, 확률!$M$2:$M$46, "&lt;=20"))</f>
        <v/>
      </c>
      <c r="K930" s="27">
        <f>SUMPRODUCT(COUNTIFS(확률!$J$2:$J$46, 원본!B930:G930, 확률!$M$2:$M$46, "&gt;=36"))</f>
        <v/>
      </c>
      <c r="L930" s="27">
        <f>6-J930-K930</f>
        <v/>
      </c>
    </row>
    <row r="931" ht="16.4" customHeight="1" s="28">
      <c r="A931" s="31" t="n">
        <v>930</v>
      </c>
      <c r="B931" s="27" t="n">
        <v>8</v>
      </c>
      <c r="C931" s="27" t="n">
        <v>21</v>
      </c>
      <c r="D931" s="27" t="n">
        <v>25</v>
      </c>
      <c r="E931" s="27" t="n">
        <v>38</v>
      </c>
      <c r="F931" s="27" t="n">
        <v>39</v>
      </c>
      <c r="G931" s="27" t="n">
        <v>44</v>
      </c>
      <c r="H931" s="27" t="n">
        <v>28</v>
      </c>
      <c r="J931" s="27">
        <f>SUMPRODUCT(COUNTIFS(확률!$J$2:$J$46, 원본!B931:G931, 확률!$M$2:$M$46, "&lt;=20"))</f>
        <v/>
      </c>
      <c r="K931" s="27">
        <f>SUMPRODUCT(COUNTIFS(확률!$J$2:$J$46, 원본!B931:G931, 확률!$M$2:$M$46, "&gt;=36"))</f>
        <v/>
      </c>
      <c r="L931" s="27">
        <f>6-J931-K931</f>
        <v/>
      </c>
    </row>
    <row r="932" ht="16.4" customHeight="1" s="28">
      <c r="A932" s="31" t="n">
        <v>931</v>
      </c>
      <c r="B932" s="27" t="n">
        <v>14</v>
      </c>
      <c r="C932" s="27" t="n">
        <v>15</v>
      </c>
      <c r="D932" s="27" t="n">
        <v>23</v>
      </c>
      <c r="E932" s="27" t="n">
        <v>25</v>
      </c>
      <c r="F932" s="27" t="n">
        <v>35</v>
      </c>
      <c r="G932" s="27" t="n">
        <v>43</v>
      </c>
      <c r="H932" s="27" t="n">
        <v>32</v>
      </c>
      <c r="J932" s="27">
        <f>SUMPRODUCT(COUNTIFS(확률!$J$2:$J$46, 원본!B932:G932, 확률!$M$2:$M$46, "&lt;=20"))</f>
        <v/>
      </c>
      <c r="K932" s="27">
        <f>SUMPRODUCT(COUNTIFS(확률!$J$2:$J$46, 원본!B932:G932, 확률!$M$2:$M$46, "&gt;=36"))</f>
        <v/>
      </c>
      <c r="L932" s="27">
        <f>6-J932-K932</f>
        <v/>
      </c>
    </row>
    <row r="933" ht="16.4" customHeight="1" s="28">
      <c r="A933" s="31" t="n">
        <v>932</v>
      </c>
      <c r="B933" s="27" t="n">
        <v>1</v>
      </c>
      <c r="C933" s="27" t="n">
        <v>6</v>
      </c>
      <c r="D933" s="27" t="n">
        <v>15</v>
      </c>
      <c r="E933" s="27" t="n">
        <v>36</v>
      </c>
      <c r="F933" s="27" t="n">
        <v>37</v>
      </c>
      <c r="G933" s="27" t="n">
        <v>38</v>
      </c>
      <c r="H933" s="27" t="n">
        <v>5</v>
      </c>
      <c r="J933" s="27">
        <f>SUMPRODUCT(COUNTIFS(확률!$J$2:$J$46, 원본!B933:G933, 확률!$M$2:$M$46, "&lt;=20"))</f>
        <v/>
      </c>
      <c r="K933" s="27">
        <f>SUMPRODUCT(COUNTIFS(확률!$J$2:$J$46, 원본!B933:G933, 확률!$M$2:$M$46, "&gt;=36"))</f>
        <v/>
      </c>
      <c r="L933" s="27">
        <f>6-J933-K933</f>
        <v/>
      </c>
    </row>
    <row r="934" ht="16.4" customHeight="1" s="28">
      <c r="A934" s="31" t="n">
        <v>933</v>
      </c>
      <c r="B934" s="27" t="n">
        <v>23</v>
      </c>
      <c r="C934" s="27" t="n">
        <v>27</v>
      </c>
      <c r="D934" s="27" t="n">
        <v>29</v>
      </c>
      <c r="E934" s="27" t="n">
        <v>31</v>
      </c>
      <c r="F934" s="27" t="n">
        <v>36</v>
      </c>
      <c r="G934" s="27" t="n">
        <v>45</v>
      </c>
      <c r="H934" s="27" t="n">
        <v>37</v>
      </c>
      <c r="J934" s="27">
        <f>SUMPRODUCT(COUNTIFS(확률!$J$2:$J$46, 원본!B934:G934, 확률!$M$2:$M$46, "&lt;=20"))</f>
        <v/>
      </c>
      <c r="K934" s="27">
        <f>SUMPRODUCT(COUNTIFS(확률!$J$2:$J$46, 원본!B934:G934, 확률!$M$2:$M$46, "&gt;=36"))</f>
        <v/>
      </c>
      <c r="L934" s="27">
        <f>6-J934-K934</f>
        <v/>
      </c>
    </row>
    <row r="935" ht="16.4" customHeight="1" s="28">
      <c r="A935" s="31" t="n">
        <v>934</v>
      </c>
      <c r="B935" s="27" t="n">
        <v>1</v>
      </c>
      <c r="C935" s="27" t="n">
        <v>3</v>
      </c>
      <c r="D935" s="27" t="n">
        <v>30</v>
      </c>
      <c r="E935" s="27" t="n">
        <v>33</v>
      </c>
      <c r="F935" s="27" t="n">
        <v>36</v>
      </c>
      <c r="G935" s="27" t="n">
        <v>39</v>
      </c>
      <c r="H935" s="27" t="n">
        <v>12</v>
      </c>
      <c r="J935" s="27">
        <f>SUMPRODUCT(COUNTIFS(확률!$J$2:$J$46, 원본!B935:G935, 확률!$M$2:$M$46, "&lt;=20"))</f>
        <v/>
      </c>
      <c r="K935" s="27">
        <f>SUMPRODUCT(COUNTIFS(확률!$J$2:$J$46, 원본!B935:G935, 확률!$M$2:$M$46, "&gt;=36"))</f>
        <v/>
      </c>
      <c r="L935" s="27">
        <f>6-J935-K935</f>
        <v/>
      </c>
    </row>
    <row r="936" ht="16.4" customHeight="1" s="28">
      <c r="A936" s="31" t="n">
        <v>935</v>
      </c>
      <c r="B936" s="27" t="n">
        <v>4</v>
      </c>
      <c r="C936" s="27" t="n">
        <v>10</v>
      </c>
      <c r="D936" s="27" t="n">
        <v>20</v>
      </c>
      <c r="E936" s="27" t="n">
        <v>32</v>
      </c>
      <c r="F936" s="27" t="n">
        <v>38</v>
      </c>
      <c r="G936" s="27" t="n">
        <v>44</v>
      </c>
      <c r="H936" s="27" t="n">
        <v>18</v>
      </c>
      <c r="J936" s="27">
        <f>SUMPRODUCT(COUNTIFS(확률!$J$2:$J$46, 원본!B936:G936, 확률!$M$2:$M$46, "&lt;=20"))</f>
        <v/>
      </c>
      <c r="K936" s="27">
        <f>SUMPRODUCT(COUNTIFS(확률!$J$2:$J$46, 원본!B936:G936, 확률!$M$2:$M$46, "&gt;=36"))</f>
        <v/>
      </c>
      <c r="L936" s="27">
        <f>6-J936-K936</f>
        <v/>
      </c>
    </row>
    <row r="937" ht="16.4" customHeight="1" s="28">
      <c r="A937" s="31" t="n">
        <v>936</v>
      </c>
      <c r="B937" s="27" t="n">
        <v>7</v>
      </c>
      <c r="C937" s="27" t="n">
        <v>11</v>
      </c>
      <c r="D937" s="27" t="n">
        <v>13</v>
      </c>
      <c r="E937" s="27" t="n">
        <v>17</v>
      </c>
      <c r="F937" s="27" t="n">
        <v>18</v>
      </c>
      <c r="G937" s="27" t="n">
        <v>29</v>
      </c>
      <c r="H937" s="27" t="n">
        <v>43</v>
      </c>
      <c r="J937" s="27">
        <f>SUMPRODUCT(COUNTIFS(확률!$J$2:$J$46, 원본!B937:G937, 확률!$M$2:$M$46, "&lt;=20"))</f>
        <v/>
      </c>
      <c r="K937" s="27">
        <f>SUMPRODUCT(COUNTIFS(확률!$J$2:$J$46, 원본!B937:G937, 확률!$M$2:$M$46, "&gt;=36"))</f>
        <v/>
      </c>
      <c r="L937" s="27">
        <f>6-J937-K937</f>
        <v/>
      </c>
    </row>
    <row r="938" ht="16.4" customHeight="1" s="28">
      <c r="A938" s="31" t="n">
        <v>937</v>
      </c>
      <c r="B938" s="27" t="n">
        <v>2</v>
      </c>
      <c r="C938" s="27" t="n">
        <v>10</v>
      </c>
      <c r="D938" s="27" t="n">
        <v>13</v>
      </c>
      <c r="E938" s="27" t="n">
        <v>22</v>
      </c>
      <c r="F938" s="27" t="n">
        <v>29</v>
      </c>
      <c r="G938" s="27" t="n">
        <v>40</v>
      </c>
      <c r="H938" s="27" t="n">
        <v>26</v>
      </c>
      <c r="J938" s="27">
        <f>SUMPRODUCT(COUNTIFS(확률!$J$2:$J$46, 원본!B938:G938, 확률!$M$2:$M$46, "&lt;=20"))</f>
        <v/>
      </c>
      <c r="K938" s="27">
        <f>SUMPRODUCT(COUNTIFS(확률!$J$2:$J$46, 원본!B938:G938, 확률!$M$2:$M$46, "&gt;=36"))</f>
        <v/>
      </c>
      <c r="L938" s="27">
        <f>6-J938-K938</f>
        <v/>
      </c>
    </row>
    <row r="939" ht="16.4" customHeight="1" s="28">
      <c r="A939" s="31" t="n">
        <v>938</v>
      </c>
      <c r="B939" s="27" t="n">
        <v>4</v>
      </c>
      <c r="C939" s="27" t="n">
        <v>8</v>
      </c>
      <c r="D939" s="27" t="n">
        <v>10</v>
      </c>
      <c r="E939" s="27" t="n">
        <v>16</v>
      </c>
      <c r="F939" s="27" t="n">
        <v>31</v>
      </c>
      <c r="G939" s="27" t="n">
        <v>36</v>
      </c>
      <c r="H939" s="27" t="n">
        <v>9</v>
      </c>
      <c r="J939" s="27">
        <f>SUMPRODUCT(COUNTIFS(확률!$J$2:$J$46, 원본!B939:G939, 확률!$M$2:$M$46, "&lt;=20"))</f>
        <v/>
      </c>
      <c r="K939" s="27">
        <f>SUMPRODUCT(COUNTIFS(확률!$J$2:$J$46, 원본!B939:G939, 확률!$M$2:$M$46, "&gt;=36"))</f>
        <v/>
      </c>
      <c r="L939" s="27">
        <f>6-J939-K939</f>
        <v/>
      </c>
    </row>
    <row r="940" ht="16.4" customHeight="1" s="28">
      <c r="A940" s="31" t="n">
        <v>939</v>
      </c>
      <c r="B940" s="27" t="n">
        <v>4</v>
      </c>
      <c r="C940" s="27" t="n">
        <v>11</v>
      </c>
      <c r="D940" s="27" t="n">
        <v>28</v>
      </c>
      <c r="E940" s="27" t="n">
        <v>39</v>
      </c>
      <c r="F940" s="27" t="n">
        <v>42</v>
      </c>
      <c r="G940" s="27" t="n">
        <v>45</v>
      </c>
      <c r="H940" s="27" t="n">
        <v>6</v>
      </c>
      <c r="J940" s="27">
        <f>SUMPRODUCT(COUNTIFS(확률!$J$2:$J$46, 원본!B940:G940, 확률!$M$2:$M$46, "&lt;=20"))</f>
        <v/>
      </c>
      <c r="K940" s="27">
        <f>SUMPRODUCT(COUNTIFS(확률!$J$2:$J$46, 원본!B940:G940, 확률!$M$2:$M$46, "&gt;=36"))</f>
        <v/>
      </c>
      <c r="L940" s="27">
        <f>6-J940-K940</f>
        <v/>
      </c>
    </row>
    <row r="941" ht="16.4" customHeight="1" s="28">
      <c r="A941" s="31" t="n">
        <v>940</v>
      </c>
      <c r="B941" s="27" t="n">
        <v>3</v>
      </c>
      <c r="C941" s="27" t="n">
        <v>15</v>
      </c>
      <c r="D941" s="27" t="n">
        <v>20</v>
      </c>
      <c r="E941" s="27" t="n">
        <v>22</v>
      </c>
      <c r="F941" s="27" t="n">
        <v>24</v>
      </c>
      <c r="G941" s="27" t="n">
        <v>41</v>
      </c>
      <c r="H941" s="27" t="n">
        <v>11</v>
      </c>
      <c r="J941" s="27">
        <f>SUMPRODUCT(COUNTIFS(확률!$J$2:$J$46, 원본!B941:G941, 확률!$M$2:$M$46, "&lt;=20"))</f>
        <v/>
      </c>
      <c r="K941" s="27">
        <f>SUMPRODUCT(COUNTIFS(확률!$J$2:$J$46, 원본!B941:G941, 확률!$M$2:$M$46, "&gt;=36"))</f>
        <v/>
      </c>
      <c r="L941" s="27">
        <f>6-J941-K941</f>
        <v/>
      </c>
    </row>
    <row r="942" ht="16.4" customHeight="1" s="28">
      <c r="A942" s="31" t="n">
        <v>941</v>
      </c>
      <c r="B942" s="27" t="n">
        <v>12</v>
      </c>
      <c r="C942" s="27" t="n">
        <v>14</v>
      </c>
      <c r="D942" s="27" t="n">
        <v>25</v>
      </c>
      <c r="E942" s="27" t="n">
        <v>27</v>
      </c>
      <c r="F942" s="27" t="n">
        <v>39</v>
      </c>
      <c r="G942" s="27" t="n">
        <v>40</v>
      </c>
      <c r="H942" s="27" t="n">
        <v>35</v>
      </c>
      <c r="J942" s="27">
        <f>SUMPRODUCT(COUNTIFS(확률!$J$2:$J$46, 원본!B942:G942, 확률!$M$2:$M$46, "&lt;=20"))</f>
        <v/>
      </c>
      <c r="K942" s="27">
        <f>SUMPRODUCT(COUNTIFS(확률!$J$2:$J$46, 원본!B942:G942, 확률!$M$2:$M$46, "&gt;=36"))</f>
        <v/>
      </c>
      <c r="L942" s="27">
        <f>6-J942-K942</f>
        <v/>
      </c>
    </row>
    <row r="943" ht="16.4" customHeight="1" s="28">
      <c r="A943" s="31" t="n">
        <v>942</v>
      </c>
      <c r="B943" s="27" t="n">
        <v>10</v>
      </c>
      <c r="C943" s="27" t="n">
        <v>12</v>
      </c>
      <c r="D943" s="27" t="n">
        <v>18</v>
      </c>
      <c r="E943" s="27" t="n">
        <v>35</v>
      </c>
      <c r="F943" s="27" t="n">
        <v>42</v>
      </c>
      <c r="G943" s="27" t="n">
        <v>43</v>
      </c>
      <c r="H943" s="27" t="n">
        <v>39</v>
      </c>
      <c r="J943" s="27">
        <f>SUMPRODUCT(COUNTIFS(확률!$J$2:$J$46, 원본!B943:G943, 확률!$M$2:$M$46, "&lt;=20"))</f>
        <v/>
      </c>
      <c r="K943" s="27">
        <f>SUMPRODUCT(COUNTIFS(확률!$J$2:$J$46, 원본!B943:G943, 확률!$M$2:$M$46, "&gt;=36"))</f>
        <v/>
      </c>
      <c r="L943" s="27">
        <f>6-J943-K943</f>
        <v/>
      </c>
    </row>
    <row r="944" ht="16.4" customHeight="1" s="28">
      <c r="A944" s="31" t="n">
        <v>943</v>
      </c>
      <c r="B944" s="27" t="n">
        <v>1</v>
      </c>
      <c r="C944" s="27" t="n">
        <v>8</v>
      </c>
      <c r="D944" s="27" t="n">
        <v>13</v>
      </c>
      <c r="E944" s="27" t="n">
        <v>36</v>
      </c>
      <c r="F944" s="27" t="n">
        <v>44</v>
      </c>
      <c r="G944" s="27" t="n">
        <v>45</v>
      </c>
      <c r="H944" s="27" t="n">
        <v>39</v>
      </c>
      <c r="J944" s="27">
        <f>SUMPRODUCT(COUNTIFS(확률!$J$2:$J$46, 원본!B944:G944, 확률!$M$2:$M$46, "&lt;=20"))</f>
        <v/>
      </c>
      <c r="K944" s="27">
        <f>SUMPRODUCT(COUNTIFS(확률!$J$2:$J$46, 원본!B944:G944, 확률!$M$2:$M$46, "&gt;=36"))</f>
        <v/>
      </c>
      <c r="L944" s="27">
        <f>6-J944-K944</f>
        <v/>
      </c>
    </row>
    <row r="945" ht="16.4" customHeight="1" s="28">
      <c r="A945" s="31" t="n">
        <v>944</v>
      </c>
      <c r="B945" s="27" t="n">
        <v>2</v>
      </c>
      <c r="C945" s="27" t="n">
        <v>13</v>
      </c>
      <c r="D945" s="27" t="n">
        <v>16</v>
      </c>
      <c r="E945" s="27" t="n">
        <v>19</v>
      </c>
      <c r="F945" s="27" t="n">
        <v>32</v>
      </c>
      <c r="G945" s="27" t="n">
        <v>33</v>
      </c>
      <c r="H945" s="27" t="n">
        <v>42</v>
      </c>
      <c r="J945" s="27">
        <f>SUMPRODUCT(COUNTIFS(확률!$J$2:$J$46, 원본!B945:G945, 확률!$M$2:$M$46, "&lt;=20"))</f>
        <v/>
      </c>
      <c r="K945" s="27">
        <f>SUMPRODUCT(COUNTIFS(확률!$J$2:$J$46, 원본!B945:G945, 확률!$M$2:$M$46, "&gt;=36"))</f>
        <v/>
      </c>
      <c r="L945" s="27">
        <f>6-J945-K945</f>
        <v/>
      </c>
    </row>
    <row r="946" ht="16.4" customHeight="1" s="28">
      <c r="A946" s="31" t="n">
        <v>945</v>
      </c>
      <c r="B946" s="27" t="n">
        <v>9</v>
      </c>
      <c r="C946" s="27" t="n">
        <v>10</v>
      </c>
      <c r="D946" s="27" t="n">
        <v>15</v>
      </c>
      <c r="E946" s="27" t="n">
        <v>30</v>
      </c>
      <c r="F946" s="27" t="n">
        <v>33</v>
      </c>
      <c r="G946" s="27" t="n">
        <v>37</v>
      </c>
      <c r="H946" s="27" t="n">
        <v>26</v>
      </c>
      <c r="J946" s="27">
        <f>SUMPRODUCT(COUNTIFS(확률!$J$2:$J$46, 원본!B946:G946, 확률!$M$2:$M$46, "&lt;=20"))</f>
        <v/>
      </c>
      <c r="K946" s="27">
        <f>SUMPRODUCT(COUNTIFS(확률!$J$2:$J$46, 원본!B946:G946, 확률!$M$2:$M$46, "&gt;=36"))</f>
        <v/>
      </c>
      <c r="L946" s="27">
        <f>6-J946-K946</f>
        <v/>
      </c>
    </row>
    <row r="947" ht="16.4" customHeight="1" s="28">
      <c r="A947" s="31" t="n">
        <v>946</v>
      </c>
      <c r="B947" s="27" t="n">
        <v>9</v>
      </c>
      <c r="C947" s="27" t="n">
        <v>18</v>
      </c>
      <c r="D947" s="27" t="n">
        <v>19</v>
      </c>
      <c r="E947" s="27" t="n">
        <v>30</v>
      </c>
      <c r="F947" s="27" t="n">
        <v>34</v>
      </c>
      <c r="G947" s="27" t="n">
        <v>40</v>
      </c>
      <c r="H947" s="27" t="n">
        <v>20</v>
      </c>
      <c r="J947" s="27">
        <f>SUMPRODUCT(COUNTIFS(확률!$J$2:$J$46, 원본!B947:G947, 확률!$M$2:$M$46, "&lt;=20"))</f>
        <v/>
      </c>
      <c r="K947" s="27">
        <f>SUMPRODUCT(COUNTIFS(확률!$J$2:$J$46, 원본!B947:G947, 확률!$M$2:$M$46, "&gt;=36"))</f>
        <v/>
      </c>
      <c r="L947" s="27">
        <f>6-J947-K947</f>
        <v/>
      </c>
    </row>
    <row r="948" ht="16.4" customHeight="1" s="28">
      <c r="A948" s="31" t="n">
        <v>947</v>
      </c>
      <c r="B948" s="27" t="n">
        <v>3</v>
      </c>
      <c r="C948" s="27" t="n">
        <v>8</v>
      </c>
      <c r="D948" s="27" t="n">
        <v>17</v>
      </c>
      <c r="E948" s="27" t="n">
        <v>20</v>
      </c>
      <c r="F948" s="27" t="n">
        <v>27</v>
      </c>
      <c r="G948" s="27" t="n">
        <v>35</v>
      </c>
      <c r="H948" s="27" t="n">
        <v>26</v>
      </c>
      <c r="J948" s="27">
        <f>SUMPRODUCT(COUNTIFS(확률!$J$2:$J$46, 원본!B948:G948, 확률!$M$2:$M$46, "&lt;=20"))</f>
        <v/>
      </c>
      <c r="K948" s="27">
        <f>SUMPRODUCT(COUNTIFS(확률!$J$2:$J$46, 원본!B948:G948, 확률!$M$2:$M$46, "&gt;=36"))</f>
        <v/>
      </c>
      <c r="L948" s="27">
        <f>6-J948-K948</f>
        <v/>
      </c>
    </row>
    <row r="949" ht="16.4" customHeight="1" s="28">
      <c r="A949" s="31" t="n">
        <v>948</v>
      </c>
      <c r="B949" s="27" t="n">
        <v>13</v>
      </c>
      <c r="C949" s="27" t="n">
        <v>18</v>
      </c>
      <c r="D949" s="27" t="n">
        <v>30</v>
      </c>
      <c r="E949" s="27" t="n">
        <v>31</v>
      </c>
      <c r="F949" s="27" t="n">
        <v>38</v>
      </c>
      <c r="G949" s="27" t="n">
        <v>41</v>
      </c>
      <c r="H949" s="27" t="n">
        <v>5</v>
      </c>
      <c r="J949" s="27">
        <f>SUMPRODUCT(COUNTIFS(확률!$J$2:$J$46, 원본!B949:G949, 확률!$M$2:$M$46, "&lt;=20"))</f>
        <v/>
      </c>
      <c r="K949" s="27">
        <f>SUMPRODUCT(COUNTIFS(확률!$J$2:$J$46, 원본!B949:G949, 확률!$M$2:$M$46, "&gt;=36"))</f>
        <v/>
      </c>
      <c r="L949" s="27">
        <f>6-J949-K949</f>
        <v/>
      </c>
    </row>
    <row r="950" ht="16.4" customHeight="1" s="28">
      <c r="A950" s="31" t="n">
        <v>949</v>
      </c>
      <c r="B950" s="27" t="n">
        <v>14</v>
      </c>
      <c r="C950" s="27" t="n">
        <v>21</v>
      </c>
      <c r="D950" s="27" t="n">
        <v>35</v>
      </c>
      <c r="E950" s="27" t="n">
        <v>36</v>
      </c>
      <c r="F950" s="27" t="n">
        <v>40</v>
      </c>
      <c r="G950" s="27" t="n">
        <v>44</v>
      </c>
      <c r="H950" s="27" t="n">
        <v>30</v>
      </c>
      <c r="J950" s="27">
        <f>SUMPRODUCT(COUNTIFS(확률!$J$2:$J$46, 원본!B950:G950, 확률!$M$2:$M$46, "&lt;=20"))</f>
        <v/>
      </c>
      <c r="K950" s="27">
        <f>SUMPRODUCT(COUNTIFS(확률!$J$2:$J$46, 원본!B950:G950, 확률!$M$2:$M$46, "&gt;=36"))</f>
        <v/>
      </c>
      <c r="L950" s="27">
        <f>6-J950-K950</f>
        <v/>
      </c>
    </row>
    <row r="951" ht="16.4" customHeight="1" s="28">
      <c r="A951" s="31" t="n">
        <v>950</v>
      </c>
      <c r="B951" s="27" t="n">
        <v>3</v>
      </c>
      <c r="C951" s="27" t="n">
        <v>4</v>
      </c>
      <c r="D951" s="27" t="n">
        <v>15</v>
      </c>
      <c r="E951" s="27" t="n">
        <v>22</v>
      </c>
      <c r="F951" s="27" t="n">
        <v>28</v>
      </c>
      <c r="G951" s="27" t="n">
        <v>40</v>
      </c>
      <c r="H951" s="27" t="n">
        <v>10</v>
      </c>
      <c r="J951" s="27">
        <f>SUMPRODUCT(COUNTIFS(확률!$J$2:$J$46, 원본!B951:G951, 확률!$M$2:$M$46, "&lt;=20"))</f>
        <v/>
      </c>
      <c r="K951" s="27">
        <f>SUMPRODUCT(COUNTIFS(확률!$J$2:$J$46, 원본!B951:G951, 확률!$M$2:$M$46, "&gt;=36"))</f>
        <v/>
      </c>
      <c r="L951" s="27">
        <f>6-J951-K951</f>
        <v/>
      </c>
    </row>
    <row r="952" ht="16.4" customHeight="1" s="28">
      <c r="A952" s="31" t="n">
        <v>951</v>
      </c>
      <c r="B952" s="27" t="n">
        <v>2</v>
      </c>
      <c r="C952" s="27" t="n">
        <v>12</v>
      </c>
      <c r="D952" s="27" t="n">
        <v>30</v>
      </c>
      <c r="E952" s="27" t="n">
        <v>31</v>
      </c>
      <c r="F952" s="27" t="n">
        <v>39</v>
      </c>
      <c r="G952" s="27" t="n">
        <v>43</v>
      </c>
      <c r="H952" s="27" t="n">
        <v>38</v>
      </c>
      <c r="J952" s="27">
        <f>SUMPRODUCT(COUNTIFS(확률!$J$2:$J$46, 원본!B952:G952, 확률!$M$2:$M$46, "&lt;=20"))</f>
        <v/>
      </c>
      <c r="K952" s="27">
        <f>SUMPRODUCT(COUNTIFS(확률!$J$2:$J$46, 원본!B952:G952, 확률!$M$2:$M$46, "&gt;=36"))</f>
        <v/>
      </c>
      <c r="L952" s="27">
        <f>6-J952-K952</f>
        <v/>
      </c>
    </row>
    <row r="953" ht="16.4" customHeight="1" s="28">
      <c r="A953" s="31" t="n">
        <v>952</v>
      </c>
      <c r="B953" s="27" t="n">
        <v>4</v>
      </c>
      <c r="C953" s="27" t="n">
        <v>12</v>
      </c>
      <c r="D953" s="27" t="n">
        <v>22</v>
      </c>
      <c r="E953" s="27" t="n">
        <v>24</v>
      </c>
      <c r="F953" s="27" t="n">
        <v>33</v>
      </c>
      <c r="G953" s="27" t="n">
        <v>41</v>
      </c>
      <c r="H953" s="27" t="n">
        <v>38</v>
      </c>
      <c r="J953" s="27">
        <f>SUMPRODUCT(COUNTIFS(확률!$J$2:$J$46, 원본!B953:G953, 확률!$M$2:$M$46, "&lt;=20"))</f>
        <v/>
      </c>
      <c r="K953" s="27">
        <f>SUMPRODUCT(COUNTIFS(확률!$J$2:$J$46, 원본!B953:G953, 확률!$M$2:$M$46, "&gt;=36"))</f>
        <v/>
      </c>
      <c r="L953" s="27">
        <f>6-J953-K953</f>
        <v/>
      </c>
    </row>
    <row r="954" ht="16.4" customHeight="1" s="28">
      <c r="A954" s="31" t="n">
        <v>953</v>
      </c>
      <c r="B954" s="27" t="n">
        <v>7</v>
      </c>
      <c r="C954" s="27" t="n">
        <v>9</v>
      </c>
      <c r="D954" s="27" t="n">
        <v>22</v>
      </c>
      <c r="E954" s="27" t="n">
        <v>27</v>
      </c>
      <c r="F954" s="27" t="n">
        <v>37</v>
      </c>
      <c r="G954" s="27" t="n">
        <v>42</v>
      </c>
      <c r="H954" s="27" t="n">
        <v>34</v>
      </c>
      <c r="J954" s="27">
        <f>SUMPRODUCT(COUNTIFS(확률!$J$2:$J$46, 원본!B954:G954, 확률!$M$2:$M$46, "&lt;=20"))</f>
        <v/>
      </c>
      <c r="K954" s="27">
        <f>SUMPRODUCT(COUNTIFS(확률!$J$2:$J$46, 원본!B954:G954, 확률!$M$2:$M$46, "&gt;=36"))</f>
        <v/>
      </c>
      <c r="L954" s="27">
        <f>6-J954-K954</f>
        <v/>
      </c>
    </row>
    <row r="955" ht="16.4" customHeight="1" s="28">
      <c r="A955" s="31" t="n">
        <v>954</v>
      </c>
      <c r="B955" s="27" t="n">
        <v>1</v>
      </c>
      <c r="C955" s="27" t="n">
        <v>9</v>
      </c>
      <c r="D955" s="27" t="n">
        <v>26</v>
      </c>
      <c r="E955" s="27" t="n">
        <v>28</v>
      </c>
      <c r="F955" s="27" t="n">
        <v>30</v>
      </c>
      <c r="G955" s="27" t="n">
        <v>41</v>
      </c>
      <c r="H955" s="27" t="n">
        <v>32</v>
      </c>
      <c r="J955" s="27">
        <f>SUMPRODUCT(COUNTIFS(확률!$J$2:$J$46, 원본!B955:G955, 확률!$M$2:$M$46, "&lt;=20"))</f>
        <v/>
      </c>
      <c r="K955" s="27">
        <f>SUMPRODUCT(COUNTIFS(확률!$J$2:$J$46, 원본!B955:G955, 확률!$M$2:$M$46, "&gt;=36"))</f>
        <v/>
      </c>
      <c r="L955" s="27">
        <f>6-J955-K955</f>
        <v/>
      </c>
    </row>
    <row r="956" ht="16.4" customHeight="1" s="28">
      <c r="A956" s="31" t="n">
        <v>955</v>
      </c>
      <c r="B956" s="27" t="n">
        <v>4</v>
      </c>
      <c r="C956" s="27" t="n">
        <v>9</v>
      </c>
      <c r="D956" s="27" t="n">
        <v>23</v>
      </c>
      <c r="E956" s="27" t="n">
        <v>26</v>
      </c>
      <c r="F956" s="27" t="n">
        <v>29</v>
      </c>
      <c r="G956" s="27" t="n">
        <v>33</v>
      </c>
      <c r="H956" s="27" t="n">
        <v>8</v>
      </c>
      <c r="J956" s="27">
        <f>SUMPRODUCT(COUNTIFS(확률!$J$2:$J$46, 원본!B956:G956, 확률!$M$2:$M$46, "&lt;=20"))</f>
        <v/>
      </c>
      <c r="K956" s="27">
        <f>SUMPRODUCT(COUNTIFS(확률!$J$2:$J$46, 원본!B956:G956, 확률!$M$2:$M$46, "&gt;=36"))</f>
        <v/>
      </c>
      <c r="L956" s="27">
        <f>6-J956-K956</f>
        <v/>
      </c>
    </row>
    <row r="957" ht="16.4" customHeight="1" s="28">
      <c r="A957" s="31" t="n">
        <v>956</v>
      </c>
      <c r="B957" s="27" t="n">
        <v>10</v>
      </c>
      <c r="C957" s="27" t="n">
        <v>11</v>
      </c>
      <c r="D957" s="27" t="n">
        <v>20</v>
      </c>
      <c r="E957" s="27" t="n">
        <v>21</v>
      </c>
      <c r="F957" s="27" t="n">
        <v>25</v>
      </c>
      <c r="G957" s="27" t="n">
        <v>41</v>
      </c>
      <c r="H957" s="27" t="n">
        <v>40</v>
      </c>
      <c r="J957" s="27">
        <f>SUMPRODUCT(COUNTIFS(확률!$J$2:$J$46, 원본!B957:G957, 확률!$M$2:$M$46, "&lt;=20"))</f>
        <v/>
      </c>
      <c r="K957" s="27">
        <f>SUMPRODUCT(COUNTIFS(확률!$J$2:$J$46, 원본!B957:G957, 확률!$M$2:$M$46, "&gt;=36"))</f>
        <v/>
      </c>
      <c r="L957" s="27">
        <f>6-J957-K957</f>
        <v/>
      </c>
    </row>
    <row r="958" ht="16.4" customHeight="1" s="28">
      <c r="A958" s="31" t="n">
        <v>957</v>
      </c>
      <c r="B958" s="27" t="n">
        <v>4</v>
      </c>
      <c r="C958" s="27" t="n">
        <v>15</v>
      </c>
      <c r="D958" s="27" t="n">
        <v>24</v>
      </c>
      <c r="E958" s="27" t="n">
        <v>35</v>
      </c>
      <c r="F958" s="27" t="n">
        <v>36</v>
      </c>
      <c r="G958" s="27" t="n">
        <v>40</v>
      </c>
      <c r="H958" s="27" t="n">
        <v>1</v>
      </c>
      <c r="J958" s="27">
        <f>SUMPRODUCT(COUNTIFS(확률!$J$2:$J$46, 원본!B958:G958, 확률!$M$2:$M$46, "&lt;=20"))</f>
        <v/>
      </c>
      <c r="K958" s="27">
        <f>SUMPRODUCT(COUNTIFS(확률!$J$2:$J$46, 원본!B958:G958, 확률!$M$2:$M$46, "&gt;=36"))</f>
        <v/>
      </c>
      <c r="L958" s="27">
        <f>6-J958-K958</f>
        <v/>
      </c>
    </row>
    <row r="959" ht="16.4" customHeight="1" s="28">
      <c r="A959" s="31" t="n">
        <v>958</v>
      </c>
      <c r="B959" s="27" t="n">
        <v>2</v>
      </c>
      <c r="C959" s="27" t="n">
        <v>9</v>
      </c>
      <c r="D959" s="27" t="n">
        <v>10</v>
      </c>
      <c r="E959" s="27" t="n">
        <v>16</v>
      </c>
      <c r="F959" s="27" t="n">
        <v>35</v>
      </c>
      <c r="G959" s="27" t="n">
        <v>37</v>
      </c>
      <c r="H959" s="27" t="n">
        <v>1</v>
      </c>
      <c r="J959" s="27">
        <f>SUMPRODUCT(COUNTIFS(확률!$J$2:$J$46, 원본!B959:G959, 확률!$M$2:$M$46, "&lt;=20"))</f>
        <v/>
      </c>
      <c r="K959" s="27">
        <f>SUMPRODUCT(COUNTIFS(확률!$J$2:$J$46, 원본!B959:G959, 확률!$M$2:$M$46, "&gt;=36"))</f>
        <v/>
      </c>
      <c r="L959" s="27">
        <f>6-J959-K959</f>
        <v/>
      </c>
    </row>
    <row r="960" ht="16.4" customHeight="1" s="28">
      <c r="A960" s="31" t="n">
        <v>959</v>
      </c>
      <c r="B960" s="27" t="n">
        <v>1</v>
      </c>
      <c r="C960" s="27" t="n">
        <v>14</v>
      </c>
      <c r="D960" s="27" t="n">
        <v>15</v>
      </c>
      <c r="E960" s="27" t="n">
        <v>24</v>
      </c>
      <c r="F960" s="27" t="n">
        <v>40</v>
      </c>
      <c r="G960" s="27" t="n">
        <v>41</v>
      </c>
      <c r="H960" s="27" t="n">
        <v>35</v>
      </c>
      <c r="J960" s="27">
        <f>SUMPRODUCT(COUNTIFS(확률!$J$2:$J$46, 원본!B960:G960, 확률!$M$2:$M$46, "&lt;=20"))</f>
        <v/>
      </c>
      <c r="K960" s="27">
        <f>SUMPRODUCT(COUNTIFS(확률!$J$2:$J$46, 원본!B960:G960, 확률!$M$2:$M$46, "&gt;=36"))</f>
        <v/>
      </c>
      <c r="L960" s="27">
        <f>6-J960-K960</f>
        <v/>
      </c>
    </row>
    <row r="961" ht="16.4" customHeight="1" s="28">
      <c r="A961" s="31" t="n">
        <v>960</v>
      </c>
      <c r="B961" s="27" t="n">
        <v>2</v>
      </c>
      <c r="C961" s="27" t="n">
        <v>18</v>
      </c>
      <c r="D961" s="27" t="n">
        <v>24</v>
      </c>
      <c r="E961" s="27" t="n">
        <v>30</v>
      </c>
      <c r="F961" s="27" t="n">
        <v>32</v>
      </c>
      <c r="G961" s="27" t="n">
        <v>45</v>
      </c>
      <c r="H961" s="27" t="n">
        <v>14</v>
      </c>
      <c r="J961" s="27">
        <f>SUMPRODUCT(COUNTIFS(확률!$J$2:$J$46, 원본!B961:G961, 확률!$M$2:$M$46, "&lt;=20"))</f>
        <v/>
      </c>
      <c r="K961" s="27">
        <f>SUMPRODUCT(COUNTIFS(확률!$J$2:$J$46, 원본!B961:G961, 확률!$M$2:$M$46, "&gt;=36"))</f>
        <v/>
      </c>
      <c r="L961" s="27">
        <f>6-J961-K961</f>
        <v/>
      </c>
    </row>
    <row r="962" ht="16.4" customHeight="1" s="28">
      <c r="A962" s="31" t="n">
        <v>961</v>
      </c>
      <c r="B962" s="27" t="n">
        <v>11</v>
      </c>
      <c r="C962" s="27" t="n">
        <v>20</v>
      </c>
      <c r="D962" s="27" t="n">
        <v>29</v>
      </c>
      <c r="E962" s="27" t="n">
        <v>31</v>
      </c>
      <c r="F962" s="27" t="n">
        <v>33</v>
      </c>
      <c r="G962" s="27" t="n">
        <v>42</v>
      </c>
      <c r="H962" s="27" t="n">
        <v>43</v>
      </c>
      <c r="J962" s="27">
        <f>SUMPRODUCT(COUNTIFS(확률!$J$2:$J$46, 원본!B962:G962, 확률!$M$2:$M$46, "&lt;=20"))</f>
        <v/>
      </c>
      <c r="K962" s="27">
        <f>SUMPRODUCT(COUNTIFS(확률!$J$2:$J$46, 원본!B962:G962, 확률!$M$2:$M$46, "&gt;=36"))</f>
        <v/>
      </c>
      <c r="L962" s="27">
        <f>6-J962-K962</f>
        <v/>
      </c>
    </row>
    <row r="963" ht="16.4" customHeight="1" s="28">
      <c r="A963" s="31" t="n">
        <v>962</v>
      </c>
      <c r="B963" s="27" t="n">
        <v>1</v>
      </c>
      <c r="C963" s="27" t="n">
        <v>18</v>
      </c>
      <c r="D963" s="27" t="n">
        <v>28</v>
      </c>
      <c r="E963" s="27" t="n">
        <v>31</v>
      </c>
      <c r="F963" s="27" t="n">
        <v>34</v>
      </c>
      <c r="G963" s="27" t="n">
        <v>43</v>
      </c>
      <c r="H963" s="27" t="n">
        <v>40</v>
      </c>
      <c r="J963" s="27">
        <f>SUMPRODUCT(COUNTIFS(확률!$J$2:$J$46, 원본!B963:G963, 확률!$M$2:$M$46, "&lt;=20"))</f>
        <v/>
      </c>
      <c r="K963" s="27">
        <f>SUMPRODUCT(COUNTIFS(확률!$J$2:$J$46, 원본!B963:G963, 확률!$M$2:$M$46, "&gt;=36"))</f>
        <v/>
      </c>
      <c r="L963" s="27">
        <f>6-J963-K963</f>
        <v/>
      </c>
    </row>
    <row r="964" ht="16.4" customHeight="1" s="28">
      <c r="A964" s="31" t="n">
        <v>963</v>
      </c>
      <c r="B964" s="27" t="n">
        <v>6</v>
      </c>
      <c r="C964" s="27" t="n">
        <v>12</v>
      </c>
      <c r="D964" s="27" t="n">
        <v>19</v>
      </c>
      <c r="E964" s="27" t="n">
        <v>23</v>
      </c>
      <c r="F964" s="27" t="n">
        <v>34</v>
      </c>
      <c r="G964" s="27" t="n">
        <v>42</v>
      </c>
      <c r="H964" s="27" t="n">
        <v>35</v>
      </c>
      <c r="J964" s="27">
        <f>SUMPRODUCT(COUNTIFS(확률!$J$2:$J$46, 원본!B964:G964, 확률!$M$2:$M$46, "&lt;=20"))</f>
        <v/>
      </c>
      <c r="K964" s="27">
        <f>SUMPRODUCT(COUNTIFS(확률!$J$2:$J$46, 원본!B964:G964, 확률!$M$2:$M$46, "&gt;=36"))</f>
        <v/>
      </c>
      <c r="L964" s="27">
        <f>6-J964-K964</f>
        <v/>
      </c>
    </row>
    <row r="965" ht="16.4" customHeight="1" s="28">
      <c r="A965" s="31" t="n">
        <v>964</v>
      </c>
      <c r="B965" s="27" t="n">
        <v>6</v>
      </c>
      <c r="C965" s="27" t="n">
        <v>21</v>
      </c>
      <c r="D965" s="27" t="n">
        <v>36</v>
      </c>
      <c r="E965" s="27" t="n">
        <v>38</v>
      </c>
      <c r="F965" s="27" t="n">
        <v>39</v>
      </c>
      <c r="G965" s="27" t="n">
        <v>43</v>
      </c>
      <c r="H965" s="27" t="n">
        <v>30</v>
      </c>
      <c r="J965" s="27">
        <f>SUMPRODUCT(COUNTIFS(확률!$J$2:$J$46, 원본!B965:G965, 확률!$M$2:$M$46, "&lt;=20"))</f>
        <v/>
      </c>
      <c r="K965" s="27">
        <f>SUMPRODUCT(COUNTIFS(확률!$J$2:$J$46, 원본!B965:G965, 확률!$M$2:$M$46, "&gt;=36"))</f>
        <v/>
      </c>
      <c r="L965" s="27">
        <f>6-J965-K965</f>
        <v/>
      </c>
    </row>
    <row r="966" ht="16.4" customHeight="1" s="28">
      <c r="A966" s="31" t="n">
        <v>965</v>
      </c>
      <c r="B966" s="27" t="n">
        <v>2</v>
      </c>
      <c r="C966" s="27" t="n">
        <v>13</v>
      </c>
      <c r="D966" s="27" t="n">
        <v>25</v>
      </c>
      <c r="E966" s="27" t="n">
        <v>28</v>
      </c>
      <c r="F966" s="27" t="n">
        <v>29</v>
      </c>
      <c r="G966" s="27" t="n">
        <v>36</v>
      </c>
      <c r="H966" s="27" t="n">
        <v>34</v>
      </c>
      <c r="J966" s="27">
        <f>SUMPRODUCT(COUNTIFS(확률!$J$2:$J$46, 원본!B966:G966, 확률!$M$2:$M$46, "&lt;=20"))</f>
        <v/>
      </c>
      <c r="K966" s="27">
        <f>SUMPRODUCT(COUNTIFS(확률!$J$2:$J$46, 원본!B966:G966, 확률!$M$2:$M$46, "&gt;=36"))</f>
        <v/>
      </c>
      <c r="L966" s="27">
        <f>6-J966-K966</f>
        <v/>
      </c>
    </row>
    <row r="967" ht="16.4" customHeight="1" s="28">
      <c r="A967" s="31" t="n">
        <v>966</v>
      </c>
      <c r="B967" s="27" t="n">
        <v>1</v>
      </c>
      <c r="C967" s="27" t="n">
        <v>21</v>
      </c>
      <c r="D967" s="27" t="n">
        <v>25</v>
      </c>
      <c r="E967" s="27" t="n">
        <v>29</v>
      </c>
      <c r="F967" s="27" t="n">
        <v>34</v>
      </c>
      <c r="G967" s="27" t="n">
        <v>37</v>
      </c>
      <c r="H967" s="27" t="n">
        <v>36</v>
      </c>
      <c r="J967" s="27">
        <f>SUMPRODUCT(COUNTIFS(확률!$J$2:$J$46, 원본!B967:G967, 확률!$M$2:$M$46, "&lt;=20"))</f>
        <v/>
      </c>
      <c r="K967" s="27">
        <f>SUMPRODUCT(COUNTIFS(확률!$J$2:$J$46, 원본!B967:G967, 확률!$M$2:$M$46, "&gt;=36"))</f>
        <v/>
      </c>
      <c r="L967" s="27">
        <f>6-J967-K967</f>
        <v/>
      </c>
    </row>
    <row r="968" ht="16.4" customHeight="1" s="28">
      <c r="A968" s="31" t="n">
        <v>967</v>
      </c>
      <c r="B968" s="27" t="n">
        <v>1</v>
      </c>
      <c r="C968" s="27" t="n">
        <v>6</v>
      </c>
      <c r="D968" s="27" t="n">
        <v>13</v>
      </c>
      <c r="E968" s="27" t="n">
        <v>37</v>
      </c>
      <c r="F968" s="27" t="n">
        <v>38</v>
      </c>
      <c r="G968" s="27" t="n">
        <v>40</v>
      </c>
      <c r="H968" s="27" t="n">
        <v>9</v>
      </c>
      <c r="J968" s="27">
        <f>SUMPRODUCT(COUNTIFS(확률!$J$2:$J$46, 원본!B968:G968, 확률!$M$2:$M$46, "&lt;=20"))</f>
        <v/>
      </c>
      <c r="K968" s="27">
        <f>SUMPRODUCT(COUNTIFS(확률!$J$2:$J$46, 원본!B968:G968, 확률!$M$2:$M$46, "&gt;=36"))</f>
        <v/>
      </c>
      <c r="L968" s="27">
        <f>6-J968-K968</f>
        <v/>
      </c>
    </row>
    <row r="969" ht="16.4" customHeight="1" s="28">
      <c r="A969" s="31" t="n">
        <v>968</v>
      </c>
      <c r="B969" s="27" t="n">
        <v>2</v>
      </c>
      <c r="C969" s="27" t="n">
        <v>5</v>
      </c>
      <c r="D969" s="27" t="n">
        <v>12</v>
      </c>
      <c r="E969" s="27" t="n">
        <v>14</v>
      </c>
      <c r="F969" s="27" t="n">
        <v>24</v>
      </c>
      <c r="G969" s="27" t="n">
        <v>39</v>
      </c>
      <c r="H969" s="27" t="n">
        <v>33</v>
      </c>
      <c r="J969" s="27">
        <f>SUMPRODUCT(COUNTIFS(확률!$J$2:$J$46, 원본!B969:G969, 확률!$M$2:$M$46, "&lt;=20"))</f>
        <v/>
      </c>
      <c r="K969" s="27">
        <f>SUMPRODUCT(COUNTIFS(확률!$J$2:$J$46, 원본!B969:G969, 확률!$M$2:$M$46, "&gt;=36"))</f>
        <v/>
      </c>
      <c r="L969" s="27">
        <f>6-J969-K969</f>
        <v/>
      </c>
    </row>
    <row r="970" ht="16.4" customHeight="1" s="28">
      <c r="A970" s="31" t="n">
        <v>969</v>
      </c>
      <c r="B970" s="27" t="n">
        <v>3</v>
      </c>
      <c r="C970" s="27" t="n">
        <v>9</v>
      </c>
      <c r="D970" s="27" t="n">
        <v>10</v>
      </c>
      <c r="E970" s="27" t="n">
        <v>29</v>
      </c>
      <c r="F970" s="27" t="n">
        <v>40</v>
      </c>
      <c r="G970" s="27" t="n">
        <v>45</v>
      </c>
      <c r="H970" s="27" t="n">
        <v>7</v>
      </c>
      <c r="J970" s="27">
        <f>SUMPRODUCT(COUNTIFS(확률!$J$2:$J$46, 원본!B970:G970, 확률!$M$2:$M$46, "&lt;=20"))</f>
        <v/>
      </c>
      <c r="K970" s="27">
        <f>SUMPRODUCT(COUNTIFS(확률!$J$2:$J$46, 원본!B970:G970, 확률!$M$2:$M$46, "&gt;=36"))</f>
        <v/>
      </c>
      <c r="L970" s="27">
        <f>6-J970-K970</f>
        <v/>
      </c>
    </row>
    <row r="971" ht="16.4" customHeight="1" s="28">
      <c r="A971" s="31" t="n">
        <v>970</v>
      </c>
      <c r="B971" s="27" t="n">
        <v>9</v>
      </c>
      <c r="C971" s="27" t="n">
        <v>11</v>
      </c>
      <c r="D971" s="27" t="n">
        <v>16</v>
      </c>
      <c r="E971" s="27" t="n">
        <v>21</v>
      </c>
      <c r="F971" s="27" t="n">
        <v>28</v>
      </c>
      <c r="G971" s="27" t="n">
        <v>36</v>
      </c>
      <c r="H971" s="27" t="n">
        <v>5</v>
      </c>
      <c r="J971" s="27">
        <f>SUMPRODUCT(COUNTIFS(확률!$J$2:$J$46, 원본!B971:G971, 확률!$M$2:$M$46, "&lt;=20"))</f>
        <v/>
      </c>
      <c r="K971" s="27">
        <f>SUMPRODUCT(COUNTIFS(확률!$J$2:$J$46, 원본!B971:G971, 확률!$M$2:$M$46, "&gt;=36"))</f>
        <v/>
      </c>
      <c r="L971" s="27">
        <f>6-J971-K971</f>
        <v/>
      </c>
    </row>
    <row r="972" ht="16.4" customHeight="1" s="28">
      <c r="A972" s="31" t="n">
        <v>971</v>
      </c>
      <c r="B972" s="27" t="n">
        <v>2</v>
      </c>
      <c r="C972" s="27" t="n">
        <v>6</v>
      </c>
      <c r="D972" s="27" t="n">
        <v>17</v>
      </c>
      <c r="E972" s="27" t="n">
        <v>18</v>
      </c>
      <c r="F972" s="27" t="n">
        <v>21</v>
      </c>
      <c r="G972" s="27" t="n">
        <v>26</v>
      </c>
      <c r="H972" s="27" t="n">
        <v>7</v>
      </c>
      <c r="J972" s="27">
        <f>SUMPRODUCT(COUNTIFS(확률!$J$2:$J$46, 원본!B972:G972, 확률!$M$2:$M$46, "&lt;=20"))</f>
        <v/>
      </c>
      <c r="K972" s="27">
        <f>SUMPRODUCT(COUNTIFS(확률!$J$2:$J$46, 원본!B972:G972, 확률!$M$2:$M$46, "&gt;=36"))</f>
        <v/>
      </c>
      <c r="L972" s="27">
        <f>6-J972-K972</f>
        <v/>
      </c>
    </row>
    <row r="973" ht="16.4" customHeight="1" s="28">
      <c r="A973" s="31" t="n">
        <v>972</v>
      </c>
      <c r="B973" s="27" t="n">
        <v>3</v>
      </c>
      <c r="C973" s="27" t="n">
        <v>6</v>
      </c>
      <c r="D973" s="27" t="n">
        <v>17</v>
      </c>
      <c r="E973" s="27" t="n">
        <v>23</v>
      </c>
      <c r="F973" s="27" t="n">
        <v>37</v>
      </c>
      <c r="G973" s="27" t="n">
        <v>39</v>
      </c>
      <c r="H973" s="27" t="n">
        <v>26</v>
      </c>
      <c r="J973" s="27">
        <f>SUMPRODUCT(COUNTIFS(확률!$J$2:$J$46, 원본!B973:G973, 확률!$M$2:$M$46, "&lt;=20"))</f>
        <v/>
      </c>
      <c r="K973" s="27">
        <f>SUMPRODUCT(COUNTIFS(확률!$J$2:$J$46, 원본!B973:G973, 확률!$M$2:$M$46, "&gt;=36"))</f>
        <v/>
      </c>
      <c r="L973" s="27">
        <f>6-J973-K973</f>
        <v/>
      </c>
    </row>
    <row r="974" ht="16.4" customHeight="1" s="28">
      <c r="A974" s="31" t="n">
        <v>973</v>
      </c>
      <c r="B974" s="27" t="n">
        <v>22</v>
      </c>
      <c r="C974" s="27" t="n">
        <v>26</v>
      </c>
      <c r="D974" s="27" t="n">
        <v>31</v>
      </c>
      <c r="E974" s="27" t="n">
        <v>37</v>
      </c>
      <c r="F974" s="27" t="n">
        <v>41</v>
      </c>
      <c r="G974" s="27" t="n">
        <v>42</v>
      </c>
      <c r="H974" s="27" t="n">
        <v>24</v>
      </c>
      <c r="J974" s="27">
        <f>SUMPRODUCT(COUNTIFS(확률!$J$2:$J$46, 원본!B974:G974, 확률!$M$2:$M$46, "&lt;=20"))</f>
        <v/>
      </c>
      <c r="K974" s="27">
        <f>SUMPRODUCT(COUNTIFS(확률!$J$2:$J$46, 원본!B974:G974, 확률!$M$2:$M$46, "&gt;=36"))</f>
        <v/>
      </c>
      <c r="L974" s="27">
        <f>6-J974-K974</f>
        <v/>
      </c>
    </row>
    <row r="975" ht="16.4" customHeight="1" s="28">
      <c r="A975" s="31" t="n">
        <v>974</v>
      </c>
      <c r="B975" s="27" t="n">
        <v>1</v>
      </c>
      <c r="C975" s="27" t="n">
        <v>2</v>
      </c>
      <c r="D975" s="27" t="n">
        <v>11</v>
      </c>
      <c r="E975" s="27" t="n">
        <v>16</v>
      </c>
      <c r="F975" s="27" t="n">
        <v>39</v>
      </c>
      <c r="G975" s="27" t="n">
        <v>44</v>
      </c>
      <c r="H975" s="27" t="n">
        <v>32</v>
      </c>
      <c r="J975" s="27">
        <f>SUMPRODUCT(COUNTIFS(확률!$J$2:$J$46, 원본!B975:G975, 확률!$M$2:$M$46, "&lt;=20"))</f>
        <v/>
      </c>
      <c r="K975" s="27">
        <f>SUMPRODUCT(COUNTIFS(확률!$J$2:$J$46, 원본!B975:G975, 확률!$M$2:$M$46, "&gt;=36"))</f>
        <v/>
      </c>
      <c r="L975" s="27">
        <f>6-J975-K975</f>
        <v/>
      </c>
    </row>
    <row r="976" ht="16.4" customHeight="1" s="28">
      <c r="A976" s="31" t="n">
        <v>975</v>
      </c>
      <c r="B976" s="27" t="n">
        <v>7</v>
      </c>
      <c r="C976" s="27" t="n">
        <v>8</v>
      </c>
      <c r="D976" s="27" t="n">
        <v>9</v>
      </c>
      <c r="E976" s="27" t="n">
        <v>17</v>
      </c>
      <c r="F976" s="27" t="n">
        <v>22</v>
      </c>
      <c r="G976" s="27" t="n">
        <v>24</v>
      </c>
      <c r="H976" s="27" t="n">
        <v>5</v>
      </c>
      <c r="J976" s="27">
        <f>SUMPRODUCT(COUNTIFS(확률!$J$2:$J$46, 원본!B976:G976, 확률!$M$2:$M$46, "&lt;=20"))</f>
        <v/>
      </c>
      <c r="K976" s="27">
        <f>SUMPRODUCT(COUNTIFS(확률!$J$2:$J$46, 원본!B976:G976, 확률!$M$2:$M$46, "&gt;=36"))</f>
        <v/>
      </c>
      <c r="L976" s="27">
        <f>6-J976-K976</f>
        <v/>
      </c>
    </row>
    <row r="977" ht="16.4" customHeight="1" s="28">
      <c r="A977" s="31" t="n">
        <v>976</v>
      </c>
      <c r="B977" s="27" t="n">
        <v>4</v>
      </c>
      <c r="C977" s="27" t="n">
        <v>12</v>
      </c>
      <c r="D977" s="27" t="n">
        <v>14</v>
      </c>
      <c r="E977" s="27" t="n">
        <v>25</v>
      </c>
      <c r="F977" s="27" t="n">
        <v>35</v>
      </c>
      <c r="G977" s="27" t="n">
        <v>37</v>
      </c>
      <c r="H977" s="27" t="n">
        <v>2</v>
      </c>
      <c r="J977" s="27">
        <f>SUMPRODUCT(COUNTIFS(확률!$J$2:$J$46, 원본!B977:G977, 확률!$M$2:$M$46, "&lt;=20"))</f>
        <v/>
      </c>
      <c r="K977" s="27">
        <f>SUMPRODUCT(COUNTIFS(확률!$J$2:$J$46, 원본!B977:G977, 확률!$M$2:$M$46, "&gt;=36"))</f>
        <v/>
      </c>
      <c r="L977" s="27">
        <f>6-J977-K977</f>
        <v/>
      </c>
    </row>
    <row r="978" ht="16.4" customHeight="1" s="28">
      <c r="A978" s="31" t="n">
        <v>977</v>
      </c>
      <c r="B978" s="27" t="n">
        <v>2</v>
      </c>
      <c r="C978" s="27" t="n">
        <v>9</v>
      </c>
      <c r="D978" s="27" t="n">
        <v>10</v>
      </c>
      <c r="E978" s="27" t="n">
        <v>14</v>
      </c>
      <c r="F978" s="27" t="n">
        <v>22</v>
      </c>
      <c r="G978" s="27" t="n">
        <v>44</v>
      </c>
      <c r="H978" s="27" t="n">
        <v>16</v>
      </c>
      <c r="J978" s="27">
        <f>SUMPRODUCT(COUNTIFS(확률!$J$2:$J$46, 원본!B978:G978, 확률!$M$2:$M$46, "&lt;=20"))</f>
        <v/>
      </c>
      <c r="K978" s="27">
        <f>SUMPRODUCT(COUNTIFS(확률!$J$2:$J$46, 원본!B978:G978, 확률!$M$2:$M$46, "&gt;=36"))</f>
        <v/>
      </c>
      <c r="L978" s="27">
        <f>6-J978-K978</f>
        <v/>
      </c>
    </row>
    <row r="979" ht="16.4" customHeight="1" s="28">
      <c r="A979" s="31" t="n">
        <v>978</v>
      </c>
      <c r="B979" s="27" t="n">
        <v>1</v>
      </c>
      <c r="C979" s="27" t="n">
        <v>7</v>
      </c>
      <c r="D979" s="27" t="n">
        <v>15</v>
      </c>
      <c r="E979" s="27" t="n">
        <v>32</v>
      </c>
      <c r="F979" s="27" t="n">
        <v>34</v>
      </c>
      <c r="G979" s="27" t="n">
        <v>42</v>
      </c>
      <c r="H979" s="27" t="n">
        <v>8</v>
      </c>
      <c r="J979" s="27">
        <f>SUMPRODUCT(COUNTIFS(확률!$J$2:$J$46, 원본!B979:G979, 확률!$M$2:$M$46, "&lt;=20"))</f>
        <v/>
      </c>
      <c r="K979" s="27">
        <f>SUMPRODUCT(COUNTIFS(확률!$J$2:$J$46, 원본!B979:G979, 확률!$M$2:$M$46, "&gt;=36"))</f>
        <v/>
      </c>
      <c r="L979" s="27">
        <f>6-J979-K979</f>
        <v/>
      </c>
    </row>
    <row r="980" ht="16.4" customHeight="1" s="28">
      <c r="A980" s="31" t="n">
        <v>979</v>
      </c>
      <c r="B980" s="27" t="n">
        <v>7</v>
      </c>
      <c r="C980" s="27" t="n">
        <v>11</v>
      </c>
      <c r="D980" s="27" t="n">
        <v>16</v>
      </c>
      <c r="E980" s="27" t="n">
        <v>21</v>
      </c>
      <c r="F980" s="27" t="n">
        <v>27</v>
      </c>
      <c r="G980" s="27" t="n">
        <v>33</v>
      </c>
      <c r="H980" s="27" t="n">
        <v>24</v>
      </c>
      <c r="J980" s="27">
        <f>SUMPRODUCT(COUNTIFS(확률!$J$2:$J$46, 원본!B980:G980, 확률!$M$2:$M$46, "&lt;=20"))</f>
        <v/>
      </c>
      <c r="K980" s="27">
        <f>SUMPRODUCT(COUNTIFS(확률!$J$2:$J$46, 원본!B980:G980, 확률!$M$2:$M$46, "&gt;=36"))</f>
        <v/>
      </c>
      <c r="L980" s="27">
        <f>6-J980-K980</f>
        <v/>
      </c>
    </row>
    <row r="981" ht="16.4" customHeight="1" s="28">
      <c r="A981" s="31" t="n">
        <v>980</v>
      </c>
      <c r="B981" s="27" t="n">
        <v>3</v>
      </c>
      <c r="C981" s="27" t="n">
        <v>13</v>
      </c>
      <c r="D981" s="27" t="n">
        <v>16</v>
      </c>
      <c r="E981" s="27" t="n">
        <v>23</v>
      </c>
      <c r="F981" s="27" t="n">
        <v>24</v>
      </c>
      <c r="G981" s="27" t="n">
        <v>35</v>
      </c>
      <c r="H981" s="27" t="n">
        <v>14</v>
      </c>
      <c r="J981" s="27">
        <f>SUMPRODUCT(COUNTIFS(확률!$J$2:$J$46, 원본!B981:G981, 확률!$M$2:$M$46, "&lt;=20"))</f>
        <v/>
      </c>
      <c r="K981" s="27">
        <f>SUMPRODUCT(COUNTIFS(확률!$J$2:$J$46, 원본!B981:G981, 확률!$M$2:$M$46, "&gt;=36"))</f>
        <v/>
      </c>
      <c r="L981" s="27">
        <f>6-J981-K981</f>
        <v/>
      </c>
    </row>
    <row r="982" ht="16.4" customHeight="1" s="28">
      <c r="A982" s="31" t="n">
        <v>981</v>
      </c>
      <c r="B982" s="27" t="n">
        <v>27</v>
      </c>
      <c r="C982" s="27" t="n">
        <v>36</v>
      </c>
      <c r="D982" s="27" t="n">
        <v>37</v>
      </c>
      <c r="E982" s="27" t="n">
        <v>41</v>
      </c>
      <c r="F982" s="27" t="n">
        <v>43</v>
      </c>
      <c r="G982" s="27" t="n">
        <v>45</v>
      </c>
      <c r="H982" s="27" t="n">
        <v>32</v>
      </c>
      <c r="J982" s="27">
        <f>SUMPRODUCT(COUNTIFS(확률!$J$2:$J$46, 원본!B982:G982, 확률!$M$2:$M$46, "&lt;=20"))</f>
        <v/>
      </c>
      <c r="K982" s="27">
        <f>SUMPRODUCT(COUNTIFS(확률!$J$2:$J$46, 원본!B982:G982, 확률!$M$2:$M$46, "&gt;=36"))</f>
        <v/>
      </c>
      <c r="L982" s="27">
        <f>6-J982-K982</f>
        <v/>
      </c>
    </row>
    <row r="983" ht="16.4" customHeight="1" s="28">
      <c r="A983" s="31" t="n">
        <v>982</v>
      </c>
      <c r="B983" s="27" t="n">
        <v>5</v>
      </c>
      <c r="C983" s="27" t="n">
        <v>7</v>
      </c>
      <c r="D983" s="27" t="n">
        <v>13</v>
      </c>
      <c r="E983" s="27" t="n">
        <v>20</v>
      </c>
      <c r="F983" s="27" t="n">
        <v>21</v>
      </c>
      <c r="G983" s="27" t="n">
        <v>44</v>
      </c>
      <c r="H983" s="27" t="n">
        <v>33</v>
      </c>
      <c r="J983" s="27">
        <f>SUMPRODUCT(COUNTIFS(확률!$J$2:$J$46, 원본!B983:G983, 확률!$M$2:$M$46, "&lt;=20"))</f>
        <v/>
      </c>
      <c r="K983" s="27">
        <f>SUMPRODUCT(COUNTIFS(확률!$J$2:$J$46, 원본!B983:G983, 확률!$M$2:$M$46, "&gt;=36"))</f>
        <v/>
      </c>
      <c r="L983" s="27">
        <f>6-J983-K983</f>
        <v/>
      </c>
    </row>
    <row r="984" ht="16.4" customHeight="1" s="28">
      <c r="A984" s="31" t="n">
        <v>983</v>
      </c>
      <c r="B984" s="27" t="n">
        <v>13</v>
      </c>
      <c r="C984" s="27" t="n">
        <v>23</v>
      </c>
      <c r="D984" s="27" t="n">
        <v>26</v>
      </c>
      <c r="E984" s="27" t="n">
        <v>31</v>
      </c>
      <c r="F984" s="27" t="n">
        <v>35</v>
      </c>
      <c r="G984" s="27" t="n">
        <v>43</v>
      </c>
      <c r="H984" s="27" t="n">
        <v>15</v>
      </c>
      <c r="J984" s="27">
        <f>SUMPRODUCT(COUNTIFS(확률!$J$2:$J$46, 원본!B984:G984, 확률!$M$2:$M$46, "&lt;=20"))</f>
        <v/>
      </c>
      <c r="K984" s="27">
        <f>SUMPRODUCT(COUNTIFS(확률!$J$2:$J$46, 원본!B984:G984, 확률!$M$2:$M$46, "&gt;=36"))</f>
        <v/>
      </c>
      <c r="L984" s="27">
        <f>6-J984-K984</f>
        <v/>
      </c>
    </row>
    <row r="985" ht="16.4" customHeight="1" s="28">
      <c r="A985" s="31" t="n">
        <v>984</v>
      </c>
      <c r="B985" s="27" t="n">
        <v>3</v>
      </c>
      <c r="C985" s="27" t="n">
        <v>10</v>
      </c>
      <c r="D985" s="27" t="n">
        <v>23</v>
      </c>
      <c r="E985" s="27" t="n">
        <v>35</v>
      </c>
      <c r="F985" s="27" t="n">
        <v>36</v>
      </c>
      <c r="G985" s="27" t="n">
        <v>37</v>
      </c>
      <c r="H985" s="27" t="n">
        <v>18</v>
      </c>
      <c r="J985" s="27">
        <f>SUMPRODUCT(COUNTIFS(확률!$J$2:$J$46, 원본!B985:G985, 확률!$M$2:$M$46, "&lt;=20"))</f>
        <v/>
      </c>
      <c r="K985" s="27">
        <f>SUMPRODUCT(COUNTIFS(확률!$J$2:$J$46, 원본!B985:G985, 확률!$M$2:$M$46, "&gt;=36"))</f>
        <v/>
      </c>
      <c r="L985" s="27">
        <f>6-J985-K985</f>
        <v/>
      </c>
    </row>
    <row r="986" ht="16.4" customHeight="1" s="28">
      <c r="A986" s="31" t="n">
        <v>985</v>
      </c>
      <c r="B986" s="27" t="n">
        <v>17</v>
      </c>
      <c r="C986" s="27" t="n">
        <v>21</v>
      </c>
      <c r="D986" s="27" t="n">
        <v>23</v>
      </c>
      <c r="E986" s="27" t="n">
        <v>30</v>
      </c>
      <c r="F986" s="27" t="n">
        <v>34</v>
      </c>
      <c r="G986" s="27" t="n">
        <v>44</v>
      </c>
      <c r="H986" s="27" t="n">
        <v>19</v>
      </c>
      <c r="J986" s="27">
        <f>SUMPRODUCT(COUNTIFS(확률!$J$2:$J$46, 원본!B986:G986, 확률!$M$2:$M$46, "&lt;=20"))</f>
        <v/>
      </c>
      <c r="K986" s="27">
        <f>SUMPRODUCT(COUNTIFS(확률!$J$2:$J$46, 원본!B986:G986, 확률!$M$2:$M$46, "&gt;=36"))</f>
        <v/>
      </c>
      <c r="L986" s="27">
        <f>6-J986-K986</f>
        <v/>
      </c>
    </row>
    <row r="987" ht="16.4" customHeight="1" s="28">
      <c r="A987" s="31" t="n">
        <v>986</v>
      </c>
      <c r="B987" s="27" t="n">
        <v>7</v>
      </c>
      <c r="C987" s="27" t="n">
        <v>10</v>
      </c>
      <c r="D987" s="27" t="n">
        <v>16</v>
      </c>
      <c r="E987" s="27" t="n">
        <v>28</v>
      </c>
      <c r="F987" s="27" t="n">
        <v>41</v>
      </c>
      <c r="G987" s="27" t="n">
        <v>42</v>
      </c>
      <c r="H987" s="27" t="n">
        <v>40</v>
      </c>
      <c r="J987" s="27">
        <f>SUMPRODUCT(COUNTIFS(확률!$J$2:$J$46, 원본!B987:G987, 확률!$M$2:$M$46, "&lt;=20"))</f>
        <v/>
      </c>
      <c r="K987" s="27">
        <f>SUMPRODUCT(COUNTIFS(확률!$J$2:$J$46, 원본!B987:G987, 확률!$M$2:$M$46, "&gt;=36"))</f>
        <v/>
      </c>
      <c r="L987" s="27">
        <f>6-J987-K987</f>
        <v/>
      </c>
    </row>
    <row r="988" ht="16.4" customHeight="1" s="28">
      <c r="A988" s="31" t="n">
        <v>987</v>
      </c>
      <c r="B988" s="27" t="n">
        <v>2</v>
      </c>
      <c r="C988" s="27" t="n">
        <v>4</v>
      </c>
      <c r="D988" s="27" t="n">
        <v>15</v>
      </c>
      <c r="E988" s="27" t="n">
        <v>23</v>
      </c>
      <c r="F988" s="27" t="n">
        <v>29</v>
      </c>
      <c r="G988" s="27" t="n">
        <v>38</v>
      </c>
      <c r="H988" s="27" t="n">
        <v>7</v>
      </c>
      <c r="J988" s="27">
        <f>SUMPRODUCT(COUNTIFS(확률!$J$2:$J$46, 원본!B988:G988, 확률!$M$2:$M$46, "&lt;=20"))</f>
        <v/>
      </c>
      <c r="K988" s="27">
        <f>SUMPRODUCT(COUNTIFS(확률!$J$2:$J$46, 원본!B988:G988, 확률!$M$2:$M$46, "&gt;=36"))</f>
        <v/>
      </c>
      <c r="L988" s="27">
        <f>6-J988-K988</f>
        <v/>
      </c>
    </row>
    <row r="989" ht="16.4" customHeight="1" s="28">
      <c r="A989" s="31" t="n">
        <v>988</v>
      </c>
      <c r="B989" s="27" t="n">
        <v>2</v>
      </c>
      <c r="C989" s="27" t="n">
        <v>13</v>
      </c>
      <c r="D989" s="27" t="n">
        <v>20</v>
      </c>
      <c r="E989" s="27" t="n">
        <v>30</v>
      </c>
      <c r="F989" s="27" t="n">
        <v>31</v>
      </c>
      <c r="G989" s="27" t="n">
        <v>41</v>
      </c>
      <c r="H989" s="27" t="n">
        <v>27</v>
      </c>
      <c r="J989" s="27">
        <f>SUMPRODUCT(COUNTIFS(확률!$J$2:$J$46, 원본!B989:G989, 확률!$M$2:$M$46, "&lt;=20"))</f>
        <v/>
      </c>
      <c r="K989" s="27">
        <f>SUMPRODUCT(COUNTIFS(확률!$J$2:$J$46, 원본!B989:G989, 확률!$M$2:$M$46, "&gt;=36"))</f>
        <v/>
      </c>
      <c r="L989" s="27">
        <f>6-J989-K989</f>
        <v/>
      </c>
    </row>
    <row r="990" ht="16.4" customHeight="1" s="28">
      <c r="A990" s="31" t="n">
        <v>989</v>
      </c>
      <c r="B990" s="27" t="n">
        <v>17</v>
      </c>
      <c r="C990" s="27" t="n">
        <v>18</v>
      </c>
      <c r="D990" s="27" t="n">
        <v>21</v>
      </c>
      <c r="E990" s="27" t="n">
        <v>27</v>
      </c>
      <c r="F990" s="27" t="n">
        <v>29</v>
      </c>
      <c r="G990" s="27" t="n">
        <v>33</v>
      </c>
      <c r="H990" s="27" t="n">
        <v>26</v>
      </c>
      <c r="J990" s="27">
        <f>SUMPRODUCT(COUNTIFS(확률!$J$2:$J$46, 원본!B990:G990, 확률!$M$2:$M$46, "&lt;=20"))</f>
        <v/>
      </c>
      <c r="K990" s="27">
        <f>SUMPRODUCT(COUNTIFS(확률!$J$2:$J$46, 원본!B990:G990, 확률!$M$2:$M$46, "&gt;=36"))</f>
        <v/>
      </c>
      <c r="L990" s="27">
        <f>6-J990-K990</f>
        <v/>
      </c>
    </row>
    <row r="991" ht="16.4" customHeight="1" s="28">
      <c r="A991" s="31" t="n">
        <v>990</v>
      </c>
      <c r="B991" s="27" t="n">
        <v>2</v>
      </c>
      <c r="C991" s="27" t="n">
        <v>4</v>
      </c>
      <c r="D991" s="27" t="n">
        <v>25</v>
      </c>
      <c r="E991" s="27" t="n">
        <v>26</v>
      </c>
      <c r="F991" s="27" t="n">
        <v>36</v>
      </c>
      <c r="G991" s="27" t="n">
        <v>37</v>
      </c>
      <c r="H991" s="27" t="n">
        <v>28</v>
      </c>
      <c r="J991" s="27">
        <f>SUMPRODUCT(COUNTIFS(확률!$J$2:$J$46, 원본!B991:G991, 확률!$M$2:$M$46, "&lt;=20"))</f>
        <v/>
      </c>
      <c r="K991" s="27">
        <f>SUMPRODUCT(COUNTIFS(확률!$J$2:$J$46, 원본!B991:G991, 확률!$M$2:$M$46, "&gt;=36"))</f>
        <v/>
      </c>
      <c r="L991" s="27">
        <f>6-J991-K991</f>
        <v/>
      </c>
    </row>
    <row r="992" ht="16.4" customHeight="1" s="28">
      <c r="A992" s="31" t="n">
        <v>991</v>
      </c>
      <c r="B992" s="27" t="n">
        <v>13</v>
      </c>
      <c r="C992" s="27" t="n">
        <v>18</v>
      </c>
      <c r="D992" s="27" t="n">
        <v>25</v>
      </c>
      <c r="E992" s="27" t="n">
        <v>31</v>
      </c>
      <c r="F992" s="27" t="n">
        <v>33</v>
      </c>
      <c r="G992" s="27" t="n">
        <v>44</v>
      </c>
      <c r="H992" s="27" t="n">
        <v>38</v>
      </c>
      <c r="J992" s="27">
        <f>SUMPRODUCT(COUNTIFS(확률!$J$2:$J$46, 원본!B992:G992, 확률!$M$2:$M$46, "&lt;=20"))</f>
        <v/>
      </c>
      <c r="K992" s="27">
        <f>SUMPRODUCT(COUNTIFS(확률!$J$2:$J$46, 원본!B992:G992, 확률!$M$2:$M$46, "&gt;=36"))</f>
        <v/>
      </c>
      <c r="L992" s="27">
        <f>6-J992-K992</f>
        <v/>
      </c>
    </row>
    <row r="993" ht="16.4" customHeight="1" s="28">
      <c r="A993" s="31" t="n">
        <v>992</v>
      </c>
      <c r="B993" s="27" t="n">
        <v>12</v>
      </c>
      <c r="C993" s="27" t="n">
        <v>20</v>
      </c>
      <c r="D993" s="27" t="n">
        <v>26</v>
      </c>
      <c r="E993" s="27" t="n">
        <v>33</v>
      </c>
      <c r="F993" s="27" t="n">
        <v>44</v>
      </c>
      <c r="G993" s="27" t="n">
        <v>45</v>
      </c>
      <c r="H993" s="27" t="n">
        <v>24</v>
      </c>
      <c r="J993" s="27">
        <f>SUMPRODUCT(COUNTIFS(확률!$J$2:$J$46, 원본!B993:G993, 확률!$M$2:$M$46, "&lt;=20"))</f>
        <v/>
      </c>
      <c r="K993" s="27">
        <f>SUMPRODUCT(COUNTIFS(확률!$J$2:$J$46, 원본!B993:G993, 확률!$M$2:$M$46, "&gt;=36"))</f>
        <v/>
      </c>
      <c r="L993" s="27">
        <f>6-J993-K993</f>
        <v/>
      </c>
    </row>
    <row r="994" ht="16.4" customHeight="1" s="28">
      <c r="A994" s="31" t="n">
        <v>993</v>
      </c>
      <c r="B994" s="27" t="n">
        <v>6</v>
      </c>
      <c r="C994" s="27" t="n">
        <v>14</v>
      </c>
      <c r="D994" s="27" t="n">
        <v>16</v>
      </c>
      <c r="E994" s="27" t="n">
        <v>18</v>
      </c>
      <c r="F994" s="27" t="n">
        <v>24</v>
      </c>
      <c r="G994" s="27" t="n">
        <v>42</v>
      </c>
      <c r="H994" s="27" t="n">
        <v>44</v>
      </c>
      <c r="J994" s="27">
        <f>SUMPRODUCT(COUNTIFS(확률!$J$2:$J$46, 원본!B994:G994, 확률!$M$2:$M$46, "&lt;=20"))</f>
        <v/>
      </c>
      <c r="K994" s="27">
        <f>SUMPRODUCT(COUNTIFS(확률!$J$2:$J$46, 원본!B994:G994, 확률!$M$2:$M$46, "&gt;=36"))</f>
        <v/>
      </c>
      <c r="L994" s="27">
        <f>6-J994-K994</f>
        <v/>
      </c>
    </row>
    <row r="995" ht="16.4" customHeight="1" s="28">
      <c r="A995" s="31" t="n">
        <v>994</v>
      </c>
      <c r="B995" s="27" t="n">
        <v>1</v>
      </c>
      <c r="C995" s="27" t="n">
        <v>3</v>
      </c>
      <c r="D995" s="27" t="n">
        <v>8</v>
      </c>
      <c r="E995" s="27" t="n">
        <v>24</v>
      </c>
      <c r="F995" s="27" t="n">
        <v>27</v>
      </c>
      <c r="G995" s="27" t="n">
        <v>35</v>
      </c>
      <c r="H995" s="27" t="n">
        <v>28</v>
      </c>
      <c r="J995" s="27">
        <f>SUMPRODUCT(COUNTIFS(확률!$J$2:$J$46, 원본!B995:G995, 확률!$M$2:$M$46, "&lt;=20"))</f>
        <v/>
      </c>
      <c r="K995" s="27">
        <f>SUMPRODUCT(COUNTIFS(확률!$J$2:$J$46, 원본!B995:G995, 확률!$M$2:$M$46, "&gt;=36"))</f>
        <v/>
      </c>
      <c r="L995" s="27">
        <f>6-J995-K995</f>
        <v/>
      </c>
    </row>
    <row r="996" ht="16.4" customHeight="1" s="28">
      <c r="A996" s="31" t="n">
        <v>995</v>
      </c>
      <c r="B996" s="27" t="n">
        <v>1</v>
      </c>
      <c r="C996" s="27" t="n">
        <v>4</v>
      </c>
      <c r="D996" s="27" t="n">
        <v>13</v>
      </c>
      <c r="E996" s="27" t="n">
        <v>29</v>
      </c>
      <c r="F996" s="27" t="n">
        <v>38</v>
      </c>
      <c r="G996" s="27" t="n">
        <v>39</v>
      </c>
      <c r="H996" s="27" t="n">
        <v>7</v>
      </c>
      <c r="J996" s="27">
        <f>SUMPRODUCT(COUNTIFS(확률!$J$2:$J$46, 원본!B996:G996, 확률!$M$2:$M$46, "&lt;=20"))</f>
        <v/>
      </c>
      <c r="K996" s="27">
        <f>SUMPRODUCT(COUNTIFS(확률!$J$2:$J$46, 원본!B996:G996, 확률!$M$2:$M$46, "&gt;=36"))</f>
        <v/>
      </c>
      <c r="L996" s="27">
        <f>6-J996-K996</f>
        <v/>
      </c>
    </row>
    <row r="997" ht="16.4" customHeight="1" s="28">
      <c r="A997" s="31" t="n">
        <v>996</v>
      </c>
      <c r="B997" s="27" t="n">
        <v>6</v>
      </c>
      <c r="C997" s="27" t="n">
        <v>11</v>
      </c>
      <c r="D997" s="27" t="n">
        <v>15</v>
      </c>
      <c r="E997" s="27" t="n">
        <v>24</v>
      </c>
      <c r="F997" s="27" t="n">
        <v>32</v>
      </c>
      <c r="G997" s="27" t="n">
        <v>39</v>
      </c>
      <c r="H997" s="27" t="n">
        <v>28</v>
      </c>
      <c r="J997" s="27">
        <f>SUMPRODUCT(COUNTIFS(확률!$J$2:$J$46, 원본!B997:G997, 확률!$M$2:$M$46, "&lt;=20"))</f>
        <v/>
      </c>
      <c r="K997" s="27">
        <f>SUMPRODUCT(COUNTIFS(확률!$J$2:$J$46, 원본!B997:G997, 확률!$M$2:$M$46, "&gt;=36"))</f>
        <v/>
      </c>
      <c r="L997" s="27">
        <f>6-J997-K997</f>
        <v/>
      </c>
    </row>
    <row r="998" ht="16.4" customHeight="1" s="28">
      <c r="A998" s="31" t="n">
        <v>997</v>
      </c>
      <c r="B998" s="27" t="n">
        <v>4</v>
      </c>
      <c r="C998" s="27" t="n">
        <v>7</v>
      </c>
      <c r="D998" s="27" t="n">
        <v>14</v>
      </c>
      <c r="E998" s="27" t="n">
        <v>16</v>
      </c>
      <c r="F998" s="27" t="n">
        <v>24</v>
      </c>
      <c r="G998" s="27" t="n">
        <v>44</v>
      </c>
      <c r="H998" s="27" t="n">
        <v>20</v>
      </c>
      <c r="J998" s="27">
        <f>SUMPRODUCT(COUNTIFS(확률!$J$2:$J$46, 원본!B998:G998, 확률!$M$2:$M$46, "&lt;=20"))</f>
        <v/>
      </c>
      <c r="K998" s="27">
        <f>SUMPRODUCT(COUNTIFS(확률!$J$2:$J$46, 원본!B998:G998, 확률!$M$2:$M$46, "&gt;=36"))</f>
        <v/>
      </c>
      <c r="L998" s="27">
        <f>6-J998-K998</f>
        <v/>
      </c>
    </row>
    <row r="999" ht="16.4" customHeight="1" s="28">
      <c r="A999" s="31" t="n">
        <v>998</v>
      </c>
      <c r="B999" s="27" t="n">
        <v>13</v>
      </c>
      <c r="C999" s="27" t="n">
        <v>17</v>
      </c>
      <c r="D999" s="27" t="n">
        <v>18</v>
      </c>
      <c r="E999" s="27" t="n">
        <v>20</v>
      </c>
      <c r="F999" s="27" t="n">
        <v>42</v>
      </c>
      <c r="G999" s="27" t="n">
        <v>45</v>
      </c>
      <c r="H999" s="27" t="n">
        <v>41</v>
      </c>
      <c r="J999" s="27">
        <f>SUMPRODUCT(COUNTIFS(확률!$J$2:$J$46, 원본!B999:G999, 확률!$M$2:$M$46, "&lt;=20"))</f>
        <v/>
      </c>
      <c r="K999" s="27">
        <f>SUMPRODUCT(COUNTIFS(확률!$J$2:$J$46, 원본!B999:G999, 확률!$M$2:$M$46, "&gt;=36"))</f>
        <v/>
      </c>
      <c r="L999" s="27">
        <f>6-J999-K999</f>
        <v/>
      </c>
    </row>
    <row r="1000" ht="16.4" customHeight="1" s="28">
      <c r="A1000" s="31" t="n">
        <v>999</v>
      </c>
      <c r="B1000" s="27" t="n">
        <v>1</v>
      </c>
      <c r="C1000" s="27" t="n">
        <v>3</v>
      </c>
      <c r="D1000" s="27" t="n">
        <v>9</v>
      </c>
      <c r="E1000" s="27" t="n">
        <v>14</v>
      </c>
      <c r="F1000" s="27" t="n">
        <v>18</v>
      </c>
      <c r="G1000" s="27" t="n">
        <v>28</v>
      </c>
      <c r="H1000" s="27" t="n">
        <v>34</v>
      </c>
      <c r="J1000" s="27">
        <f>SUMPRODUCT(COUNTIFS(확률!$J$2:$J$46, 원본!B1000:G1000, 확률!$M$2:$M$46, "&lt;=20"))</f>
        <v/>
      </c>
      <c r="K1000" s="27">
        <f>SUMPRODUCT(COUNTIFS(확률!$J$2:$J$46, 원본!B1000:G1000, 확률!$M$2:$M$46, "&gt;=36"))</f>
        <v/>
      </c>
      <c r="L1000" s="27">
        <f>6-J1000-K1000</f>
        <v/>
      </c>
    </row>
    <row r="1001" ht="16.4" customHeight="1" s="28">
      <c r="A1001" s="31" t="n">
        <v>1000</v>
      </c>
      <c r="B1001" s="27" t="n">
        <v>2</v>
      </c>
      <c r="C1001" s="27" t="n">
        <v>8</v>
      </c>
      <c r="D1001" s="27" t="n">
        <v>19</v>
      </c>
      <c r="E1001" s="27" t="n">
        <v>22</v>
      </c>
      <c r="F1001" s="27" t="n">
        <v>32</v>
      </c>
      <c r="G1001" s="27" t="n">
        <v>42</v>
      </c>
      <c r="H1001" s="27" t="n">
        <v>39</v>
      </c>
      <c r="J1001" s="27">
        <f>SUMPRODUCT(COUNTIFS(확률!$J$2:$J$46, 원본!B1001:G1001, 확률!$M$2:$M$46, "&lt;=20"))</f>
        <v/>
      </c>
      <c r="K1001" s="27">
        <f>SUMPRODUCT(COUNTIFS(확률!$J$2:$J$46, 원본!B1001:G1001, 확률!$M$2:$M$46, "&gt;=36"))</f>
        <v/>
      </c>
      <c r="L1001" s="27">
        <f>6-J1001-K1001</f>
        <v/>
      </c>
    </row>
    <row r="1002" ht="16.4" customHeight="1" s="28">
      <c r="A1002" s="31" t="n">
        <v>1001</v>
      </c>
      <c r="B1002" s="27" t="n">
        <v>6</v>
      </c>
      <c r="C1002" s="27" t="n">
        <v>10</v>
      </c>
      <c r="D1002" s="27" t="n">
        <v>12</v>
      </c>
      <c r="E1002" s="27" t="n">
        <v>14</v>
      </c>
      <c r="F1002" s="27" t="n">
        <v>20</v>
      </c>
      <c r="G1002" s="27" t="n">
        <v>42</v>
      </c>
      <c r="H1002" s="27" t="n">
        <v>15</v>
      </c>
      <c r="J1002" s="27">
        <f>SUMPRODUCT(COUNTIFS(확률!$J$2:$J$46, 원본!B1002:G1002, 확률!$M$2:$M$46, "&lt;=20"))</f>
        <v/>
      </c>
      <c r="K1002" s="27">
        <f>SUMPRODUCT(COUNTIFS(확률!$J$2:$J$46, 원본!B1002:G1002, 확률!$M$2:$M$46, "&gt;=36"))</f>
        <v/>
      </c>
      <c r="L1002" s="27">
        <f>6-J1002-K1002</f>
        <v/>
      </c>
    </row>
    <row r="1003" ht="16.4" customHeight="1" s="28">
      <c r="A1003" s="31" t="n">
        <v>1002</v>
      </c>
      <c r="B1003" s="27" t="n">
        <v>17</v>
      </c>
      <c r="C1003" s="27" t="n">
        <v>25</v>
      </c>
      <c r="D1003" s="27" t="n">
        <v>33</v>
      </c>
      <c r="E1003" s="27" t="n">
        <v>35</v>
      </c>
      <c r="F1003" s="27" t="n">
        <v>38</v>
      </c>
      <c r="G1003" s="27" t="n">
        <v>45</v>
      </c>
      <c r="H1003" s="27" t="n">
        <v>15</v>
      </c>
      <c r="J1003" s="27">
        <f>SUMPRODUCT(COUNTIFS(확률!$J$2:$J$46, 원본!B1003:G1003, 확률!$M$2:$M$46, "&lt;=20"))</f>
        <v/>
      </c>
      <c r="K1003" s="27">
        <f>SUMPRODUCT(COUNTIFS(확률!$J$2:$J$46, 원본!B1003:G1003, 확률!$M$2:$M$46, "&gt;=36"))</f>
        <v/>
      </c>
      <c r="L1003" s="27">
        <f>6-J1003-K1003</f>
        <v/>
      </c>
    </row>
    <row r="1004" ht="16.4" customHeight="1" s="28">
      <c r="A1004" s="31" t="n">
        <v>1003</v>
      </c>
      <c r="B1004" s="27" t="n">
        <v>1</v>
      </c>
      <c r="C1004" s="27" t="n">
        <v>4</v>
      </c>
      <c r="D1004" s="27" t="n">
        <v>29</v>
      </c>
      <c r="E1004" s="27" t="n">
        <v>39</v>
      </c>
      <c r="F1004" s="27" t="n">
        <v>43</v>
      </c>
      <c r="G1004" s="27" t="n">
        <v>45</v>
      </c>
      <c r="H1004" s="27" t="n">
        <v>31</v>
      </c>
      <c r="J1004" s="27">
        <f>SUMPRODUCT(COUNTIFS(확률!$J$2:$J$46, 원본!B1004:G1004, 확률!$M$2:$M$46, "&lt;=20"))</f>
        <v/>
      </c>
      <c r="K1004" s="27">
        <f>SUMPRODUCT(COUNTIFS(확률!$J$2:$J$46, 원본!B1004:G1004, 확률!$M$2:$M$46, "&gt;=36"))</f>
        <v/>
      </c>
      <c r="L1004" s="27">
        <f>6-J1004-K1004</f>
        <v/>
      </c>
    </row>
    <row r="1005" ht="16.4" customHeight="1" s="28">
      <c r="A1005" s="31" t="n">
        <v>1004</v>
      </c>
      <c r="B1005" s="27" t="n">
        <v>7</v>
      </c>
      <c r="C1005" s="27" t="n">
        <v>15</v>
      </c>
      <c r="D1005" s="27" t="n">
        <v>30</v>
      </c>
      <c r="E1005" s="27" t="n">
        <v>37</v>
      </c>
      <c r="F1005" s="27" t="n">
        <v>39</v>
      </c>
      <c r="G1005" s="27" t="n">
        <v>44</v>
      </c>
      <c r="H1005" s="27" t="n">
        <v>18</v>
      </c>
      <c r="J1005" s="27">
        <f>SUMPRODUCT(COUNTIFS(확률!$J$2:$J$46, 원본!B1005:G1005, 확률!$M$2:$M$46, "&lt;=20"))</f>
        <v/>
      </c>
      <c r="K1005" s="27">
        <f>SUMPRODUCT(COUNTIFS(확률!$J$2:$J$46, 원본!B1005:G1005, 확률!$M$2:$M$46, "&gt;=36"))</f>
        <v/>
      </c>
      <c r="L1005" s="27">
        <f>6-J1005-K1005</f>
        <v/>
      </c>
    </row>
    <row r="1006" ht="16.4" customHeight="1" s="28">
      <c r="A1006" s="31" t="n">
        <v>1005</v>
      </c>
      <c r="B1006" s="27" t="n">
        <v>8</v>
      </c>
      <c r="C1006" s="27" t="n">
        <v>13</v>
      </c>
      <c r="D1006" s="27" t="n">
        <v>18</v>
      </c>
      <c r="E1006" s="27" t="n">
        <v>24</v>
      </c>
      <c r="F1006" s="27" t="n">
        <v>27</v>
      </c>
      <c r="G1006" s="27" t="n">
        <v>29</v>
      </c>
      <c r="H1006" s="27" t="n">
        <v>17</v>
      </c>
      <c r="J1006" s="27">
        <f>SUMPRODUCT(COUNTIFS(확률!$J$2:$J$46, 원본!B1006:G1006, 확률!$M$2:$M$46, "&lt;=20"))</f>
        <v/>
      </c>
      <c r="K1006" s="27">
        <f>SUMPRODUCT(COUNTIFS(확률!$J$2:$J$46, 원본!B1006:G1006, 확률!$M$2:$M$46, "&gt;=36"))</f>
        <v/>
      </c>
      <c r="L1006" s="27">
        <f>6-J1006-K1006</f>
        <v/>
      </c>
    </row>
    <row r="1007" ht="16.4" customHeight="1" s="28">
      <c r="A1007" s="31" t="n">
        <v>1006</v>
      </c>
      <c r="B1007" s="27" t="n">
        <v>8</v>
      </c>
      <c r="C1007" s="27" t="n">
        <v>11</v>
      </c>
      <c r="D1007" s="27" t="n">
        <v>15</v>
      </c>
      <c r="E1007" s="27" t="n">
        <v>16</v>
      </c>
      <c r="F1007" s="27" t="n">
        <v>17</v>
      </c>
      <c r="G1007" s="27" t="n">
        <v>37</v>
      </c>
      <c r="H1007" s="27" t="n">
        <v>36</v>
      </c>
      <c r="J1007" s="27">
        <f>SUMPRODUCT(COUNTIFS(확률!$J$2:$J$46, 원본!B1007:G1007, 확률!$M$2:$M$46, "&lt;=20"))</f>
        <v/>
      </c>
      <c r="K1007" s="27">
        <f>SUMPRODUCT(COUNTIFS(확률!$J$2:$J$46, 원본!B1007:G1007, 확률!$M$2:$M$46, "&gt;=36"))</f>
        <v/>
      </c>
      <c r="L1007" s="27">
        <f>6-J1007-K1007</f>
        <v/>
      </c>
    </row>
    <row r="1008" ht="16.4" customHeight="1" s="28">
      <c r="A1008" s="31" t="n">
        <v>1007</v>
      </c>
      <c r="B1008" s="27" t="n">
        <v>8</v>
      </c>
      <c r="C1008" s="27" t="n">
        <v>11</v>
      </c>
      <c r="D1008" s="27" t="n">
        <v>16</v>
      </c>
      <c r="E1008" s="27" t="n">
        <v>19</v>
      </c>
      <c r="F1008" s="27" t="n">
        <v>21</v>
      </c>
      <c r="G1008" s="27" t="n">
        <v>25</v>
      </c>
      <c r="H1008" s="27" t="n">
        <v>40</v>
      </c>
      <c r="J1008" s="27">
        <f>SUMPRODUCT(COUNTIFS(확률!$J$2:$J$46, 원본!B1008:G1008, 확률!$M$2:$M$46, "&lt;=20"))</f>
        <v/>
      </c>
      <c r="K1008" s="27">
        <f>SUMPRODUCT(COUNTIFS(확률!$J$2:$J$46, 원본!B1008:G1008, 확률!$M$2:$M$46, "&gt;=36"))</f>
        <v/>
      </c>
      <c r="L1008" s="27">
        <f>6-J1008-K1008</f>
        <v/>
      </c>
    </row>
    <row r="1009" ht="16.4" customHeight="1" s="28">
      <c r="A1009" s="31" t="n">
        <v>1008</v>
      </c>
      <c r="B1009" s="27" t="n">
        <v>9</v>
      </c>
      <c r="C1009" s="27" t="n">
        <v>11</v>
      </c>
      <c r="D1009" s="27" t="n">
        <v>30</v>
      </c>
      <c r="E1009" s="27" t="n">
        <v>31</v>
      </c>
      <c r="F1009" s="27" t="n">
        <v>41</v>
      </c>
      <c r="G1009" s="27" t="n">
        <v>44</v>
      </c>
      <c r="H1009" s="27" t="n">
        <v>33</v>
      </c>
      <c r="J1009" s="27">
        <f>SUMPRODUCT(COUNTIFS(확률!$J$2:$J$46, 원본!B1009:G1009, 확률!$M$2:$M$46, "&lt;=20"))</f>
        <v/>
      </c>
      <c r="K1009" s="27">
        <f>SUMPRODUCT(COUNTIFS(확률!$J$2:$J$46, 원본!B1009:G1009, 확률!$M$2:$M$46, "&gt;=36"))</f>
        <v/>
      </c>
      <c r="L1009" s="27">
        <f>6-J1009-K1009</f>
        <v/>
      </c>
    </row>
    <row r="1010" ht="16.4" customHeight="1" s="28">
      <c r="A1010" s="31" t="n">
        <v>1009</v>
      </c>
      <c r="B1010" s="27" t="n">
        <v>15</v>
      </c>
      <c r="C1010" s="27" t="n">
        <v>23</v>
      </c>
      <c r="D1010" s="27" t="n">
        <v>29</v>
      </c>
      <c r="E1010" s="27" t="n">
        <v>34</v>
      </c>
      <c r="F1010" s="27" t="n">
        <v>40</v>
      </c>
      <c r="G1010" s="27" t="n">
        <v>44</v>
      </c>
      <c r="H1010" s="27" t="n">
        <v>20</v>
      </c>
      <c r="J1010" s="27">
        <f>SUMPRODUCT(COUNTIFS(확률!$J$2:$J$46, 원본!B1010:G1010, 확률!$M$2:$M$46, "&lt;=20"))</f>
        <v/>
      </c>
      <c r="K1010" s="27">
        <f>SUMPRODUCT(COUNTIFS(확률!$J$2:$J$46, 원본!B1010:G1010, 확률!$M$2:$M$46, "&gt;=36"))</f>
        <v/>
      </c>
      <c r="L1010" s="27">
        <f>6-J1010-K1010</f>
        <v/>
      </c>
    </row>
    <row r="1011" ht="16.4" customHeight="1" s="28">
      <c r="A1011" s="31" t="n">
        <v>1010</v>
      </c>
      <c r="B1011" s="27" t="n">
        <v>9</v>
      </c>
      <c r="C1011" s="27" t="n">
        <v>12</v>
      </c>
      <c r="D1011" s="27" t="n">
        <v>15</v>
      </c>
      <c r="E1011" s="27" t="n">
        <v>25</v>
      </c>
      <c r="F1011" s="27" t="n">
        <v>34</v>
      </c>
      <c r="G1011" s="27" t="n">
        <v>36</v>
      </c>
      <c r="H1011" s="27" t="n">
        <v>3</v>
      </c>
      <c r="J1011" s="27">
        <f>SUMPRODUCT(COUNTIFS(확률!$J$2:$J$46, 원본!B1011:G1011, 확률!$M$2:$M$46, "&lt;=20"))</f>
        <v/>
      </c>
      <c r="K1011" s="27">
        <f>SUMPRODUCT(COUNTIFS(확률!$J$2:$J$46, 원본!B1011:G1011, 확률!$M$2:$M$46, "&gt;=36"))</f>
        <v/>
      </c>
      <c r="L1011" s="27">
        <f>6-J1011-K1011</f>
        <v/>
      </c>
    </row>
    <row r="1012" ht="16.4" customHeight="1" s="28">
      <c r="A1012" s="31" t="n">
        <v>1011</v>
      </c>
      <c r="B1012" s="27" t="n">
        <v>1</v>
      </c>
      <c r="C1012" s="27" t="n">
        <v>9</v>
      </c>
      <c r="D1012" s="27" t="n">
        <v>12</v>
      </c>
      <c r="E1012" s="27" t="n">
        <v>26</v>
      </c>
      <c r="F1012" s="27" t="n">
        <v>35</v>
      </c>
      <c r="G1012" s="27" t="n">
        <v>38</v>
      </c>
      <c r="H1012" s="27" t="n">
        <v>42</v>
      </c>
      <c r="J1012" s="27">
        <f>SUMPRODUCT(COUNTIFS(확률!$J$2:$J$46, 원본!B1012:G1012, 확률!$M$2:$M$46, "&lt;=20"))</f>
        <v/>
      </c>
      <c r="K1012" s="27">
        <f>SUMPRODUCT(COUNTIFS(확률!$J$2:$J$46, 원본!B1012:G1012, 확률!$M$2:$M$46, "&gt;=36"))</f>
        <v/>
      </c>
      <c r="L1012" s="27">
        <f>6-J1012-K1012</f>
        <v/>
      </c>
    </row>
    <row r="1013" ht="16.4" customHeight="1" s="28">
      <c r="A1013" s="31" t="n">
        <v>1012</v>
      </c>
      <c r="B1013" s="27" t="n">
        <v>5</v>
      </c>
      <c r="C1013" s="27" t="n">
        <v>11</v>
      </c>
      <c r="D1013" s="27" t="n">
        <v>18</v>
      </c>
      <c r="E1013" s="27" t="n">
        <v>20</v>
      </c>
      <c r="F1013" s="27" t="n">
        <v>35</v>
      </c>
      <c r="G1013" s="27" t="n">
        <v>45</v>
      </c>
      <c r="H1013" s="27" t="n">
        <v>3</v>
      </c>
      <c r="J1013" s="27">
        <f>SUMPRODUCT(COUNTIFS(확률!$J$2:$J$46, 원본!B1013:G1013, 확률!$M$2:$M$46, "&lt;=20"))</f>
        <v/>
      </c>
      <c r="K1013" s="27">
        <f>SUMPRODUCT(COUNTIFS(확률!$J$2:$J$46, 원본!B1013:G1013, 확률!$M$2:$M$46, "&gt;=36"))</f>
        <v/>
      </c>
      <c r="L1013" s="27">
        <f>6-J1013-K1013</f>
        <v/>
      </c>
    </row>
    <row r="1014" ht="16.4" customHeight="1" s="28">
      <c r="A1014" s="31" t="n">
        <v>1013</v>
      </c>
      <c r="B1014" s="27" t="n">
        <v>21</v>
      </c>
      <c r="C1014" s="27" t="n">
        <v>22</v>
      </c>
      <c r="D1014" s="27" t="n">
        <v>26</v>
      </c>
      <c r="E1014" s="27" t="n">
        <v>34</v>
      </c>
      <c r="F1014" s="27" t="n">
        <v>36</v>
      </c>
      <c r="G1014" s="27" t="n">
        <v>41</v>
      </c>
      <c r="H1014" s="27" t="n">
        <v>32</v>
      </c>
      <c r="J1014" s="27">
        <f>SUMPRODUCT(COUNTIFS(확률!$J$2:$J$46, 원본!B1014:G1014, 확률!$M$2:$M$46, "&lt;=20"))</f>
        <v/>
      </c>
      <c r="K1014" s="27">
        <f>SUMPRODUCT(COUNTIFS(확률!$J$2:$J$46, 원본!B1014:G1014, 확률!$M$2:$M$46, "&gt;=36"))</f>
        <v/>
      </c>
      <c r="L1014" s="27">
        <f>6-J1014-K1014</f>
        <v/>
      </c>
    </row>
    <row r="1015" ht="16.4" customHeight="1" s="28">
      <c r="A1015" s="31" t="n">
        <v>1014</v>
      </c>
      <c r="B1015" s="27" t="n">
        <v>3</v>
      </c>
      <c r="C1015" s="27" t="n">
        <v>11</v>
      </c>
      <c r="D1015" s="27" t="n">
        <v>14</v>
      </c>
      <c r="E1015" s="27" t="n">
        <v>18</v>
      </c>
      <c r="F1015" s="27" t="n">
        <v>26</v>
      </c>
      <c r="G1015" s="27" t="n">
        <v>27</v>
      </c>
      <c r="H1015" s="27" t="n">
        <v>21</v>
      </c>
      <c r="J1015" s="27">
        <f>SUMPRODUCT(COUNTIFS(확률!$J$2:$J$46, 원본!B1015:G1015, 확률!$M$2:$M$46, "&lt;=20"))</f>
        <v/>
      </c>
      <c r="K1015" s="27">
        <f>SUMPRODUCT(COUNTIFS(확률!$J$2:$J$46, 원본!B1015:G1015, 확률!$M$2:$M$46, "&gt;=36"))</f>
        <v/>
      </c>
      <c r="L1015" s="27">
        <f>6-J1015-K1015</f>
        <v/>
      </c>
    </row>
    <row r="1016" ht="16.4" customHeight="1" s="28">
      <c r="A1016" s="31" t="n">
        <v>1015</v>
      </c>
      <c r="B1016" s="27" t="n">
        <v>14</v>
      </c>
      <c r="C1016" s="27" t="n">
        <v>23</v>
      </c>
      <c r="D1016" s="27" t="n">
        <v>31</v>
      </c>
      <c r="E1016" s="27" t="n">
        <v>33</v>
      </c>
      <c r="F1016" s="27" t="n">
        <v>37</v>
      </c>
      <c r="G1016" s="27" t="n">
        <v>40</v>
      </c>
      <c r="H1016" s="27" t="n">
        <v>44</v>
      </c>
      <c r="J1016" s="27">
        <f>SUMPRODUCT(COUNTIFS(확률!$J$2:$J$46, 원본!B1016:G1016, 확률!$M$2:$M$46, "&lt;=20"))</f>
        <v/>
      </c>
      <c r="K1016" s="27">
        <f>SUMPRODUCT(COUNTIFS(확률!$J$2:$J$46, 원본!B1016:G1016, 확률!$M$2:$M$46, "&gt;=36"))</f>
        <v/>
      </c>
      <c r="L1016" s="27">
        <f>6-J1016-K1016</f>
        <v/>
      </c>
    </row>
    <row r="1017" ht="16.4" customHeight="1" s="28">
      <c r="A1017" s="31" t="n">
        <v>1016</v>
      </c>
      <c r="B1017" s="27" t="n">
        <v>15</v>
      </c>
      <c r="C1017" s="27" t="n">
        <v>26</v>
      </c>
      <c r="D1017" s="27" t="n">
        <v>28</v>
      </c>
      <c r="E1017" s="27" t="n">
        <v>34</v>
      </c>
      <c r="F1017" s="27" t="n">
        <v>41</v>
      </c>
      <c r="G1017" s="27" t="n">
        <v>42</v>
      </c>
      <c r="H1017" s="27" t="n">
        <v>44</v>
      </c>
      <c r="J1017" s="27">
        <f>SUMPRODUCT(COUNTIFS(확률!$J$2:$J$46, 원본!B1017:G1017, 확률!$M$2:$M$46, "&lt;=20"))</f>
        <v/>
      </c>
      <c r="K1017" s="27">
        <f>SUMPRODUCT(COUNTIFS(확률!$J$2:$J$46, 원본!B1017:G1017, 확률!$M$2:$M$46, "&gt;=36"))</f>
        <v/>
      </c>
      <c r="L1017" s="27">
        <f>6-J1017-K1017</f>
        <v/>
      </c>
    </row>
    <row r="1018" ht="16.4" customHeight="1" s="28">
      <c r="A1018" s="31" t="n">
        <v>1017</v>
      </c>
      <c r="B1018" s="27" t="n">
        <v>12</v>
      </c>
      <c r="C1018" s="27" t="n">
        <v>18</v>
      </c>
      <c r="D1018" s="27" t="n">
        <v>22</v>
      </c>
      <c r="E1018" s="27" t="n">
        <v>23</v>
      </c>
      <c r="F1018" s="27" t="n">
        <v>30</v>
      </c>
      <c r="G1018" s="27" t="n">
        <v>34</v>
      </c>
      <c r="H1018" s="27" t="n">
        <v>32</v>
      </c>
      <c r="J1018" s="27">
        <f>SUMPRODUCT(COUNTIFS(확률!$J$2:$J$46, 원본!B1018:G1018, 확률!$M$2:$M$46, "&lt;=20"))</f>
        <v/>
      </c>
      <c r="K1018" s="27">
        <f>SUMPRODUCT(COUNTIFS(확률!$J$2:$J$46, 원본!B1018:G1018, 확률!$M$2:$M$46, "&gt;=36"))</f>
        <v/>
      </c>
      <c r="L1018" s="27">
        <f>6-J1018-K1018</f>
        <v/>
      </c>
    </row>
    <row r="1019" ht="16.4" customHeight="1" s="28">
      <c r="A1019" s="31" t="n">
        <v>1018</v>
      </c>
      <c r="B1019" s="27" t="n">
        <v>3</v>
      </c>
      <c r="C1019" s="27" t="n">
        <v>19</v>
      </c>
      <c r="D1019" s="27" t="n">
        <v>21</v>
      </c>
      <c r="E1019" s="27" t="n">
        <v>25</v>
      </c>
      <c r="F1019" s="27" t="n">
        <v>37</v>
      </c>
      <c r="G1019" s="27" t="n">
        <v>45</v>
      </c>
      <c r="H1019" s="27" t="n">
        <v>35</v>
      </c>
      <c r="J1019" s="27">
        <f>SUMPRODUCT(COUNTIFS(확률!$J$2:$J$46, 원본!B1019:G1019, 확률!$M$2:$M$46, "&lt;=20"))</f>
        <v/>
      </c>
      <c r="K1019" s="27">
        <f>SUMPRODUCT(COUNTIFS(확률!$J$2:$J$46, 원본!B1019:G1019, 확률!$M$2:$M$46, "&gt;=36"))</f>
        <v/>
      </c>
      <c r="L1019" s="27">
        <f>6-J1019-K1019</f>
        <v/>
      </c>
    </row>
    <row r="1020" ht="16.4" customHeight="1" s="28">
      <c r="A1020" s="31" t="n">
        <v>1019</v>
      </c>
      <c r="B1020" s="27" t="n">
        <v>1</v>
      </c>
      <c r="C1020" s="27" t="n">
        <v>4</v>
      </c>
      <c r="D1020" s="27" t="n">
        <v>13</v>
      </c>
      <c r="E1020" s="27" t="n">
        <v>17</v>
      </c>
      <c r="F1020" s="27" t="n">
        <v>34</v>
      </c>
      <c r="G1020" s="27" t="n">
        <v>39</v>
      </c>
      <c r="H1020" s="27" t="n">
        <v>6</v>
      </c>
      <c r="J1020" s="27">
        <f>SUMPRODUCT(COUNTIFS(확률!$J$2:$J$46, 원본!B1020:G1020, 확률!$M$2:$M$46, "&lt;=20"))</f>
        <v/>
      </c>
      <c r="K1020" s="27">
        <f>SUMPRODUCT(COUNTIFS(확률!$J$2:$J$46, 원본!B1020:G1020, 확률!$M$2:$M$46, "&gt;=36"))</f>
        <v/>
      </c>
      <c r="L1020" s="27">
        <f>6-J1020-K1020</f>
        <v/>
      </c>
    </row>
    <row r="1021" ht="16.4" customHeight="1" s="28">
      <c r="A1021" s="31" t="n">
        <v>1020</v>
      </c>
      <c r="B1021" s="27" t="n">
        <v>12</v>
      </c>
      <c r="C1021" s="27" t="n">
        <v>27</v>
      </c>
      <c r="D1021" s="27" t="n">
        <v>29</v>
      </c>
      <c r="E1021" s="27" t="n">
        <v>38</v>
      </c>
      <c r="F1021" s="27" t="n">
        <v>41</v>
      </c>
      <c r="G1021" s="27" t="n">
        <v>45</v>
      </c>
      <c r="H1021" s="27" t="n">
        <v>6</v>
      </c>
      <c r="J1021" s="27">
        <f>SUMPRODUCT(COUNTIFS(확률!$J$2:$J$46, 원본!B1021:G1021, 확률!$M$2:$M$46, "&lt;=20"))</f>
        <v/>
      </c>
      <c r="K1021" s="27">
        <f>SUMPRODUCT(COUNTIFS(확률!$J$2:$J$46, 원본!B1021:G1021, 확률!$M$2:$M$46, "&gt;=36"))</f>
        <v/>
      </c>
      <c r="L1021" s="27">
        <f>6-J1021-K1021</f>
        <v/>
      </c>
    </row>
    <row r="1022" ht="16.4" customHeight="1" s="28">
      <c r="A1022" s="31" t="n">
        <v>1021</v>
      </c>
      <c r="B1022" s="27" t="n">
        <v>12</v>
      </c>
      <c r="C1022" s="27" t="n">
        <v>15</v>
      </c>
      <c r="D1022" s="27" t="n">
        <v>17</v>
      </c>
      <c r="E1022" s="27" t="n">
        <v>24</v>
      </c>
      <c r="F1022" s="27" t="n">
        <v>29</v>
      </c>
      <c r="G1022" s="27" t="n">
        <v>45</v>
      </c>
      <c r="H1022" s="27" t="n">
        <v>16</v>
      </c>
      <c r="J1022" s="27">
        <f>SUMPRODUCT(COUNTIFS(확률!$J$2:$J$46, 원본!B1022:G1022, 확률!$M$2:$M$46, "&lt;=20"))</f>
        <v/>
      </c>
      <c r="K1022" s="27">
        <f>SUMPRODUCT(COUNTIFS(확률!$J$2:$J$46, 원본!B1022:G1022, 확률!$M$2:$M$46, "&gt;=36"))</f>
        <v/>
      </c>
      <c r="L1022" s="27">
        <f>6-J1022-K1022</f>
        <v/>
      </c>
    </row>
    <row r="1023" ht="16.4" customHeight="1" s="28">
      <c r="A1023" s="31" t="n">
        <v>1022</v>
      </c>
      <c r="B1023" s="27" t="n">
        <v>5</v>
      </c>
      <c r="C1023" s="27" t="n">
        <v>6</v>
      </c>
      <c r="D1023" s="27" t="n">
        <v>11</v>
      </c>
      <c r="E1023" s="27" t="n">
        <v>29</v>
      </c>
      <c r="F1023" s="27" t="n">
        <v>42</v>
      </c>
      <c r="G1023" s="27" t="n">
        <v>45</v>
      </c>
      <c r="H1023" s="27" t="n">
        <v>28</v>
      </c>
      <c r="J1023" s="27">
        <f>SUMPRODUCT(COUNTIFS(확률!$J$2:$J$46, 원본!B1023:G1023, 확률!$M$2:$M$46, "&lt;=20"))</f>
        <v/>
      </c>
      <c r="K1023" s="27">
        <f>SUMPRODUCT(COUNTIFS(확률!$J$2:$J$46, 원본!B1023:G1023, 확률!$M$2:$M$46, "&gt;=36"))</f>
        <v/>
      </c>
      <c r="L1023" s="27">
        <f>6-J1023-K1023</f>
        <v/>
      </c>
    </row>
    <row r="1024" ht="16.4" customHeight="1" s="28">
      <c r="A1024" s="31" t="n">
        <v>1023</v>
      </c>
      <c r="B1024" s="27" t="n">
        <v>10</v>
      </c>
      <c r="C1024" s="27" t="n">
        <v>14</v>
      </c>
      <c r="D1024" s="27" t="n">
        <v>16</v>
      </c>
      <c r="E1024" s="27" t="n">
        <v>18</v>
      </c>
      <c r="F1024" s="27" t="n">
        <v>29</v>
      </c>
      <c r="G1024" s="27" t="n">
        <v>35</v>
      </c>
      <c r="H1024" s="27" t="n">
        <v>25</v>
      </c>
      <c r="J1024" s="27">
        <f>SUMPRODUCT(COUNTIFS(확률!$J$2:$J$46, 원본!B1024:G1024, 확률!$M$2:$M$46, "&lt;=20"))</f>
        <v/>
      </c>
      <c r="K1024" s="27">
        <f>SUMPRODUCT(COUNTIFS(확률!$J$2:$J$46, 원본!B1024:G1024, 확률!$M$2:$M$46, "&gt;=36"))</f>
        <v/>
      </c>
      <c r="L1024" s="27">
        <f>6-J1024-K1024</f>
        <v/>
      </c>
    </row>
    <row r="1025" ht="16.4" customHeight="1" s="28">
      <c r="A1025" s="31" t="n">
        <v>1024</v>
      </c>
      <c r="B1025" s="27" t="n">
        <v>9</v>
      </c>
      <c r="C1025" s="27" t="n">
        <v>18</v>
      </c>
      <c r="D1025" s="27" t="n">
        <v>20</v>
      </c>
      <c r="E1025" s="27" t="n">
        <v>22</v>
      </c>
      <c r="F1025" s="27" t="n">
        <v>38</v>
      </c>
      <c r="G1025" s="27" t="n">
        <v>44</v>
      </c>
      <c r="H1025" s="27" t="n">
        <v>10</v>
      </c>
      <c r="J1025" s="27">
        <f>SUMPRODUCT(COUNTIFS(확률!$J$2:$J$46, 원본!B1025:G1025, 확률!$M$2:$M$46, "&lt;=20"))</f>
        <v/>
      </c>
      <c r="K1025" s="27">
        <f>SUMPRODUCT(COUNTIFS(확률!$J$2:$J$46, 원본!B1025:G1025, 확률!$M$2:$M$46, "&gt;=36"))</f>
        <v/>
      </c>
      <c r="L1025" s="27">
        <f>6-J1025-K1025</f>
        <v/>
      </c>
    </row>
    <row r="1026" ht="16.4" customHeight="1" s="28">
      <c r="A1026" s="31" t="n">
        <v>1025</v>
      </c>
      <c r="B1026" s="27" t="n">
        <v>8</v>
      </c>
      <c r="C1026" s="27" t="n">
        <v>9</v>
      </c>
      <c r="D1026" s="27" t="n">
        <v>20</v>
      </c>
      <c r="E1026" s="27" t="n">
        <v>25</v>
      </c>
      <c r="F1026" s="27" t="n">
        <v>29</v>
      </c>
      <c r="G1026" s="27" t="n">
        <v>33</v>
      </c>
      <c r="H1026" s="27" t="n">
        <v>7</v>
      </c>
      <c r="J1026" s="27">
        <f>SUMPRODUCT(COUNTIFS(확률!$J$2:$J$46, 원본!B1026:G1026, 확률!$M$2:$M$46, "&lt;=20"))</f>
        <v/>
      </c>
      <c r="K1026" s="27">
        <f>SUMPRODUCT(COUNTIFS(확률!$J$2:$J$46, 원본!B1026:G1026, 확률!$M$2:$M$46, "&gt;=36"))</f>
        <v/>
      </c>
      <c r="L1026" s="27">
        <f>6-J1026-K1026</f>
        <v/>
      </c>
    </row>
    <row r="1027" ht="16.4" customHeight="1" s="28">
      <c r="A1027" s="31" t="n">
        <v>1026</v>
      </c>
      <c r="B1027" s="27" t="n">
        <v>5</v>
      </c>
      <c r="C1027" s="27" t="n">
        <v>12</v>
      </c>
      <c r="D1027" s="27" t="n">
        <v>13</v>
      </c>
      <c r="E1027" s="27" t="n">
        <v>31</v>
      </c>
      <c r="F1027" s="27" t="n">
        <v>32</v>
      </c>
      <c r="G1027" s="27" t="n">
        <v>41</v>
      </c>
      <c r="H1027" s="27" t="n">
        <v>34</v>
      </c>
      <c r="J1027" s="27">
        <f>SUMPRODUCT(COUNTIFS(확률!$J$2:$J$46, 원본!B1027:G1027, 확률!$M$2:$M$46, "&lt;=20"))</f>
        <v/>
      </c>
      <c r="K1027" s="27">
        <f>SUMPRODUCT(COUNTIFS(확률!$J$2:$J$46, 원본!B1027:G1027, 확률!$M$2:$M$46, "&gt;=36"))</f>
        <v/>
      </c>
      <c r="L1027" s="27">
        <f>6-J1027-K1027</f>
        <v/>
      </c>
    </row>
    <row r="1028" ht="16.4" customHeight="1" s="28">
      <c r="A1028" s="31" t="n">
        <v>1027</v>
      </c>
      <c r="B1028" s="27" t="n">
        <v>14</v>
      </c>
      <c r="C1028" s="27" t="n">
        <v>16</v>
      </c>
      <c r="D1028" s="27" t="n">
        <v>27</v>
      </c>
      <c r="E1028" s="27" t="n">
        <v>35</v>
      </c>
      <c r="F1028" s="27" t="n">
        <v>39</v>
      </c>
      <c r="G1028" s="27" t="n">
        <v>45</v>
      </c>
      <c r="H1028" s="27" t="n">
        <v>5</v>
      </c>
      <c r="J1028" s="27">
        <f>SUMPRODUCT(COUNTIFS(확률!$J$2:$J$46, 원본!B1028:G1028, 확률!$M$2:$M$46, "&lt;=20"))</f>
        <v/>
      </c>
      <c r="K1028" s="27">
        <f>SUMPRODUCT(COUNTIFS(확률!$J$2:$J$46, 원본!B1028:G1028, 확률!$M$2:$M$46, "&gt;=36"))</f>
        <v/>
      </c>
      <c r="L1028" s="27">
        <f>6-J1028-K1028</f>
        <v/>
      </c>
    </row>
    <row r="1029" ht="16.4" customHeight="1" s="28">
      <c r="A1029" s="31" t="n">
        <v>1028</v>
      </c>
      <c r="B1029" s="27" t="n">
        <v>5</v>
      </c>
      <c r="C1029" s="27" t="n">
        <v>7</v>
      </c>
      <c r="D1029" s="27" t="n">
        <v>12</v>
      </c>
      <c r="E1029" s="27" t="n">
        <v>13</v>
      </c>
      <c r="F1029" s="27" t="n">
        <v>18</v>
      </c>
      <c r="G1029" s="27" t="n">
        <v>35</v>
      </c>
      <c r="H1029" s="27" t="n">
        <v>23</v>
      </c>
      <c r="J1029" s="27">
        <f>SUMPRODUCT(COUNTIFS(확률!$J$2:$J$46, 원본!B1029:G1029, 확률!$M$2:$M$46, "&lt;=20"))</f>
        <v/>
      </c>
      <c r="K1029" s="27">
        <f>SUMPRODUCT(COUNTIFS(확률!$J$2:$J$46, 원본!B1029:G1029, 확률!$M$2:$M$46, "&gt;=36"))</f>
        <v/>
      </c>
      <c r="L1029" s="27">
        <f>6-J1029-K1029</f>
        <v/>
      </c>
    </row>
    <row r="1030" ht="16.4" customHeight="1" s="28">
      <c r="A1030" s="31" t="n">
        <v>1029</v>
      </c>
      <c r="B1030" s="27" t="n">
        <v>12</v>
      </c>
      <c r="C1030" s="27" t="n">
        <v>30</v>
      </c>
      <c r="D1030" s="27" t="n">
        <v>32</v>
      </c>
      <c r="E1030" s="27" t="n">
        <v>37</v>
      </c>
      <c r="F1030" s="27" t="n">
        <v>39</v>
      </c>
      <c r="G1030" s="27" t="n">
        <v>41</v>
      </c>
      <c r="H1030" s="27" t="n">
        <v>24</v>
      </c>
      <c r="J1030" s="27">
        <f>SUMPRODUCT(COUNTIFS(확률!$J$2:$J$46, 원본!B1030:G1030, 확률!$M$2:$M$46, "&lt;=20"))</f>
        <v/>
      </c>
      <c r="K1030" s="27">
        <f>SUMPRODUCT(COUNTIFS(확률!$J$2:$J$46, 원본!B1030:G1030, 확률!$M$2:$M$46, "&gt;=36"))</f>
        <v/>
      </c>
      <c r="L1030" s="27">
        <f>6-J1030-K1030</f>
        <v/>
      </c>
    </row>
    <row r="1031" ht="16.4" customHeight="1" s="28">
      <c r="A1031" s="31" t="n">
        <v>1030</v>
      </c>
      <c r="B1031" s="27" t="n">
        <v>2</v>
      </c>
      <c r="C1031" s="27" t="n">
        <v>5</v>
      </c>
      <c r="D1031" s="27" t="n">
        <v>11</v>
      </c>
      <c r="E1031" s="27" t="n">
        <v>17</v>
      </c>
      <c r="F1031" s="27" t="n">
        <v>24</v>
      </c>
      <c r="G1031" s="27" t="n">
        <v>29</v>
      </c>
      <c r="H1031" s="27" t="n">
        <v>9</v>
      </c>
      <c r="J1031" s="27">
        <f>SUMPRODUCT(COUNTIFS(확률!$J$2:$J$46, 원본!B1031:G1031, 확률!$M$2:$M$46, "&lt;=20"))</f>
        <v/>
      </c>
      <c r="K1031" s="27">
        <f>SUMPRODUCT(COUNTIFS(확률!$J$2:$J$46, 원본!B1031:G1031, 확률!$M$2:$M$46, "&gt;=36"))</f>
        <v/>
      </c>
      <c r="L1031" s="27">
        <f>6-J1031-K1031</f>
        <v/>
      </c>
    </row>
    <row r="1032" ht="16.4" customHeight="1" s="28">
      <c r="A1032" s="31" t="n">
        <v>1031</v>
      </c>
      <c r="B1032" s="27" t="n">
        <v>6</v>
      </c>
      <c r="C1032" s="27" t="n">
        <v>7</v>
      </c>
      <c r="D1032" s="27" t="n">
        <v>22</v>
      </c>
      <c r="E1032" s="27" t="n">
        <v>32</v>
      </c>
      <c r="F1032" s="27" t="n">
        <v>35</v>
      </c>
      <c r="G1032" s="27" t="n">
        <v>36</v>
      </c>
      <c r="H1032" s="27" t="n">
        <v>19</v>
      </c>
      <c r="J1032" s="27">
        <f>SUMPRODUCT(COUNTIFS(확률!$J$2:$J$46, 원본!B1032:G1032, 확률!$M$2:$M$46, "&lt;=20"))</f>
        <v/>
      </c>
      <c r="K1032" s="27">
        <f>SUMPRODUCT(COUNTIFS(확률!$J$2:$J$46, 원본!B1032:G1032, 확률!$M$2:$M$46, "&gt;=36"))</f>
        <v/>
      </c>
      <c r="L1032" s="27">
        <f>6-J1032-K1032</f>
        <v/>
      </c>
    </row>
    <row r="1033" ht="16.4" customHeight="1" s="28">
      <c r="A1033" s="31" t="n">
        <v>1032</v>
      </c>
      <c r="B1033" s="27" t="n">
        <v>1</v>
      </c>
      <c r="C1033" s="27" t="n">
        <v>6</v>
      </c>
      <c r="D1033" s="27" t="n">
        <v>12</v>
      </c>
      <c r="E1033" s="27" t="n">
        <v>19</v>
      </c>
      <c r="F1033" s="27" t="n">
        <v>36</v>
      </c>
      <c r="G1033" s="27" t="n">
        <v>42</v>
      </c>
      <c r="H1033" s="27" t="n">
        <v>28</v>
      </c>
      <c r="J1033" s="27">
        <f>SUMPRODUCT(COUNTIFS(확률!$J$2:$J$46, 원본!B1033:G1033, 확률!$M$2:$M$46, "&lt;=20"))</f>
        <v/>
      </c>
      <c r="K1033" s="27">
        <f>SUMPRODUCT(COUNTIFS(확률!$J$2:$J$46, 원본!B1033:G1033, 확률!$M$2:$M$46, "&gt;=36"))</f>
        <v/>
      </c>
      <c r="L1033" s="27">
        <f>6-J1033-K1033</f>
        <v/>
      </c>
    </row>
    <row r="1034" ht="16.4" customHeight="1" s="28">
      <c r="A1034" s="31" t="n">
        <v>1033</v>
      </c>
      <c r="B1034" s="27" t="n">
        <v>3</v>
      </c>
      <c r="C1034" s="27" t="n">
        <v>11</v>
      </c>
      <c r="D1034" s="27" t="n">
        <v>15</v>
      </c>
      <c r="E1034" s="27" t="n">
        <v>20</v>
      </c>
      <c r="F1034" s="27" t="n">
        <v>35</v>
      </c>
      <c r="G1034" s="27" t="n">
        <v>44</v>
      </c>
      <c r="H1034" s="27" t="n">
        <v>10</v>
      </c>
      <c r="J1034" s="27">
        <f>SUMPRODUCT(COUNTIFS(확률!$J$2:$J$46, 원본!B1034:G1034, 확률!$M$2:$M$46, "&lt;=20"))</f>
        <v/>
      </c>
      <c r="K1034" s="27">
        <f>SUMPRODUCT(COUNTIFS(확률!$J$2:$J$46, 원본!B1034:G1034, 확률!$M$2:$M$46, "&gt;=36"))</f>
        <v/>
      </c>
      <c r="L1034" s="27">
        <f>6-J1034-K1034</f>
        <v/>
      </c>
    </row>
    <row r="1035" ht="16.4" customHeight="1" s="28">
      <c r="A1035" s="31" t="n">
        <v>1034</v>
      </c>
      <c r="B1035" s="27" t="n">
        <v>26</v>
      </c>
      <c r="C1035" s="27" t="n">
        <v>31</v>
      </c>
      <c r="D1035" s="27" t="n">
        <v>32</v>
      </c>
      <c r="E1035" s="27" t="n">
        <v>33</v>
      </c>
      <c r="F1035" s="27" t="n">
        <v>38</v>
      </c>
      <c r="G1035" s="27" t="n">
        <v>40</v>
      </c>
      <c r="H1035" s="27" t="n">
        <v>11</v>
      </c>
      <c r="J1035" s="27">
        <f>SUMPRODUCT(COUNTIFS(확률!$J$2:$J$46, 원본!B1035:G1035, 확률!$M$2:$M$46, "&lt;=20"))</f>
        <v/>
      </c>
      <c r="K1035" s="27">
        <f>SUMPRODUCT(COUNTIFS(확률!$J$2:$J$46, 원본!B1035:G1035, 확률!$M$2:$M$46, "&gt;=36"))</f>
        <v/>
      </c>
      <c r="L1035" s="27">
        <f>6-J1035-K1035</f>
        <v/>
      </c>
    </row>
    <row r="1036" ht="16.4" customHeight="1" s="28">
      <c r="A1036" s="31" t="n">
        <v>1035</v>
      </c>
      <c r="B1036" s="27" t="n">
        <v>9</v>
      </c>
      <c r="C1036" s="27" t="n">
        <v>14</v>
      </c>
      <c r="D1036" s="27" t="n">
        <v>34</v>
      </c>
      <c r="E1036" s="27" t="n">
        <v>35</v>
      </c>
      <c r="F1036" s="27" t="n">
        <v>41</v>
      </c>
      <c r="G1036" s="27" t="n">
        <v>42</v>
      </c>
      <c r="H1036" s="27" t="n">
        <v>2</v>
      </c>
      <c r="J1036" s="27">
        <f>SUMPRODUCT(COUNTIFS(확률!$J$2:$J$46, 원본!B1036:G1036, 확률!$M$2:$M$46, "&lt;=20"))</f>
        <v/>
      </c>
      <c r="K1036" s="27">
        <f>SUMPRODUCT(COUNTIFS(확률!$J$2:$J$46, 원본!B1036:G1036, 확률!$M$2:$M$46, "&gt;=36"))</f>
        <v/>
      </c>
      <c r="L1036" s="27">
        <f>6-J1036-K1036</f>
        <v/>
      </c>
    </row>
    <row r="1037" ht="16.4" customHeight="1" s="28">
      <c r="A1037" s="31" t="n">
        <v>1036</v>
      </c>
      <c r="B1037" s="27" t="n">
        <v>2</v>
      </c>
      <c r="C1037" s="27" t="n">
        <v>5</v>
      </c>
      <c r="D1037" s="27" t="n">
        <v>22</v>
      </c>
      <c r="E1037" s="27" t="n">
        <v>32</v>
      </c>
      <c r="F1037" s="27" t="n">
        <v>34</v>
      </c>
      <c r="G1037" s="27" t="n">
        <v>45</v>
      </c>
      <c r="H1037" s="27" t="n">
        <v>39</v>
      </c>
      <c r="J1037" s="27">
        <f>SUMPRODUCT(COUNTIFS(확률!$J$2:$J$46, 원본!B1037:G1037, 확률!$M$2:$M$46, "&lt;=20"))</f>
        <v/>
      </c>
      <c r="K1037" s="27">
        <f>SUMPRODUCT(COUNTIFS(확률!$J$2:$J$46, 원본!B1037:G1037, 확률!$M$2:$M$46, "&gt;=36"))</f>
        <v/>
      </c>
      <c r="L1037" s="27">
        <f>6-J1037-K1037</f>
        <v/>
      </c>
    </row>
    <row r="1038" ht="16.4" customHeight="1" s="28">
      <c r="A1038" s="31" t="n">
        <v>1037</v>
      </c>
      <c r="B1038" s="27" t="n">
        <v>2</v>
      </c>
      <c r="C1038" s="27" t="n">
        <v>14</v>
      </c>
      <c r="D1038" s="27" t="n">
        <v>15</v>
      </c>
      <c r="E1038" s="27" t="n">
        <v>22</v>
      </c>
      <c r="F1038" s="27" t="n">
        <v>27</v>
      </c>
      <c r="G1038" s="27" t="n">
        <v>33</v>
      </c>
      <c r="H1038" s="27" t="n">
        <v>31</v>
      </c>
      <c r="J1038" s="27">
        <f>SUMPRODUCT(COUNTIFS(확률!$J$2:$J$46, 원본!B1038:G1038, 확률!$M$2:$M$46, "&lt;=20"))</f>
        <v/>
      </c>
      <c r="K1038" s="27">
        <f>SUMPRODUCT(COUNTIFS(확률!$J$2:$J$46, 원본!B1038:G1038, 확률!$M$2:$M$46, "&gt;=36"))</f>
        <v/>
      </c>
      <c r="L1038" s="27">
        <f>6-J1038-K1038</f>
        <v/>
      </c>
    </row>
    <row r="1039" ht="16.4" customHeight="1" s="28">
      <c r="A1039" s="31" t="n">
        <v>1038</v>
      </c>
      <c r="B1039" s="27" t="n">
        <v>7</v>
      </c>
      <c r="C1039" s="27" t="n">
        <v>16</v>
      </c>
      <c r="D1039" s="27" t="n">
        <v>24</v>
      </c>
      <c r="E1039" s="27" t="n">
        <v>27</v>
      </c>
      <c r="F1039" s="27" t="n">
        <v>37</v>
      </c>
      <c r="G1039" s="27" t="n">
        <v>44</v>
      </c>
      <c r="H1039" s="27" t="n">
        <v>2</v>
      </c>
      <c r="J1039" s="27">
        <f>SUMPRODUCT(COUNTIFS(확률!$J$2:$J$46, 원본!B1039:G1039, 확률!$M$2:$M$46, "&lt;=20"))</f>
        <v/>
      </c>
      <c r="K1039" s="27">
        <f>SUMPRODUCT(COUNTIFS(확률!$J$2:$J$46, 원본!B1039:G1039, 확률!$M$2:$M$46, "&gt;=36"))</f>
        <v/>
      </c>
      <c r="L1039" s="27">
        <f>6-J1039-K1039</f>
        <v/>
      </c>
    </row>
    <row r="1040" ht="16.4" customHeight="1" s="28">
      <c r="A1040" s="31" t="n">
        <v>1039</v>
      </c>
      <c r="B1040" s="27" t="n">
        <v>2</v>
      </c>
      <c r="C1040" s="27" t="n">
        <v>3</v>
      </c>
      <c r="D1040" s="27" t="n">
        <v>6</v>
      </c>
      <c r="E1040" s="27" t="n">
        <v>19</v>
      </c>
      <c r="F1040" s="27" t="n">
        <v>36</v>
      </c>
      <c r="G1040" s="27" t="n">
        <v>39</v>
      </c>
      <c r="H1040" s="27" t="n">
        <v>26</v>
      </c>
      <c r="J1040" s="27">
        <f>SUMPRODUCT(COUNTIFS(확률!$J$2:$J$46, 원본!B1040:G1040, 확률!$M$2:$M$46, "&lt;=20"))</f>
        <v/>
      </c>
      <c r="K1040" s="27">
        <f>SUMPRODUCT(COUNTIFS(확률!$J$2:$J$46, 원본!B1040:G1040, 확률!$M$2:$M$46, "&gt;=36"))</f>
        <v/>
      </c>
      <c r="L1040" s="27">
        <f>6-J1040-K1040</f>
        <v/>
      </c>
    </row>
    <row r="1041" ht="16.4" customHeight="1" s="28">
      <c r="A1041" s="31" t="n">
        <v>1040</v>
      </c>
      <c r="B1041" s="27" t="n">
        <v>8</v>
      </c>
      <c r="C1041" s="27" t="n">
        <v>16</v>
      </c>
      <c r="D1041" s="27" t="n">
        <v>26</v>
      </c>
      <c r="E1041" s="27" t="n">
        <v>29</v>
      </c>
      <c r="F1041" s="27" t="n">
        <v>31</v>
      </c>
      <c r="G1041" s="27" t="n">
        <v>36</v>
      </c>
      <c r="H1041" s="27" t="n">
        <v>11</v>
      </c>
      <c r="J1041" s="27">
        <f>SUMPRODUCT(COUNTIFS(확률!$J$2:$J$46, 원본!B1041:G1041, 확률!$M$2:$M$46, "&lt;=20"))</f>
        <v/>
      </c>
      <c r="K1041" s="27">
        <f>SUMPRODUCT(COUNTIFS(확률!$J$2:$J$46, 원본!B1041:G1041, 확률!$M$2:$M$46, "&gt;=36"))</f>
        <v/>
      </c>
      <c r="L1041" s="27">
        <f>6-J1041-K1041</f>
        <v/>
      </c>
    </row>
    <row r="1042" ht="16.4" customHeight="1" s="28">
      <c r="A1042" s="31" t="n">
        <v>1041</v>
      </c>
      <c r="B1042" s="27" t="n">
        <v>6</v>
      </c>
      <c r="C1042" s="27" t="n">
        <v>7</v>
      </c>
      <c r="D1042" s="27" t="n">
        <v>9</v>
      </c>
      <c r="E1042" s="27" t="n">
        <v>11</v>
      </c>
      <c r="F1042" s="27" t="n">
        <v>17</v>
      </c>
      <c r="G1042" s="27" t="n">
        <v>18</v>
      </c>
      <c r="H1042" s="27" t="n">
        <v>45</v>
      </c>
      <c r="J1042" s="27">
        <f>SUMPRODUCT(COUNTIFS(확률!$J$2:$J$46, 원본!B1042:G1042, 확률!$M$2:$M$46, "&lt;=20"))</f>
        <v/>
      </c>
      <c r="K1042" s="27">
        <f>SUMPRODUCT(COUNTIFS(확률!$J$2:$J$46, 원본!B1042:G1042, 확률!$M$2:$M$46, "&gt;=36"))</f>
        <v/>
      </c>
      <c r="L1042" s="27">
        <f>6-J1042-K1042</f>
        <v/>
      </c>
    </row>
    <row r="1043" ht="16.4" customHeight="1" s="28">
      <c r="A1043" s="31" t="n">
        <v>1042</v>
      </c>
      <c r="B1043" s="27" t="n">
        <v>5</v>
      </c>
      <c r="C1043" s="27" t="n">
        <v>14</v>
      </c>
      <c r="D1043" s="27" t="n">
        <v>15</v>
      </c>
      <c r="E1043" s="27" t="n">
        <v>23</v>
      </c>
      <c r="F1043" s="27" t="n">
        <v>34</v>
      </c>
      <c r="G1043" s="27" t="n">
        <v>43</v>
      </c>
      <c r="H1043" s="27" t="n">
        <v>4</v>
      </c>
      <c r="J1043" s="27">
        <f>SUMPRODUCT(COUNTIFS(확률!$J$2:$J$46, 원본!B1043:G1043, 확률!$M$2:$M$46, "&lt;=20"))</f>
        <v/>
      </c>
      <c r="K1043" s="27">
        <f>SUMPRODUCT(COUNTIFS(확률!$J$2:$J$46, 원본!B1043:G1043, 확률!$M$2:$M$46, "&gt;=36"))</f>
        <v/>
      </c>
      <c r="L1043" s="27">
        <f>6-J1043-K1043</f>
        <v/>
      </c>
    </row>
    <row r="1044" ht="16.4" customHeight="1" s="28">
      <c r="A1044" s="31" t="n">
        <v>1043</v>
      </c>
      <c r="B1044" s="27" t="n">
        <v>3</v>
      </c>
      <c r="C1044" s="27" t="n">
        <v>5</v>
      </c>
      <c r="D1044" s="27" t="n">
        <v>12</v>
      </c>
      <c r="E1044" s="27" t="n">
        <v>22</v>
      </c>
      <c r="F1044" s="27" t="n">
        <v>26</v>
      </c>
      <c r="G1044" s="27" t="n">
        <v>31</v>
      </c>
      <c r="H1044" s="27" t="n">
        <v>19</v>
      </c>
      <c r="J1044" s="27">
        <f>SUMPRODUCT(COUNTIFS(확률!$J$2:$J$46, 원본!B1044:G1044, 확률!$M$2:$M$46, "&lt;=20"))</f>
        <v/>
      </c>
      <c r="K1044" s="27">
        <f>SUMPRODUCT(COUNTIFS(확률!$J$2:$J$46, 원본!B1044:G1044, 확률!$M$2:$M$46, "&gt;=36"))</f>
        <v/>
      </c>
      <c r="L1044" s="27">
        <f>6-J1044-K1044</f>
        <v/>
      </c>
    </row>
    <row r="1045" ht="16.4" customHeight="1" s="28">
      <c r="A1045" s="31" t="n">
        <v>1044</v>
      </c>
      <c r="B1045" s="27" t="n">
        <v>12</v>
      </c>
      <c r="C1045" s="27" t="n">
        <v>17</v>
      </c>
      <c r="D1045" s="27" t="n">
        <v>20</v>
      </c>
      <c r="E1045" s="27" t="n">
        <v>26</v>
      </c>
      <c r="F1045" s="27" t="n">
        <v>28</v>
      </c>
      <c r="G1045" s="27" t="n">
        <v>36</v>
      </c>
      <c r="H1045" s="27" t="n">
        <v>4</v>
      </c>
      <c r="J1045" s="27">
        <f>SUMPRODUCT(COUNTIFS(확률!$J$2:$J$46, 원본!B1045:G1045, 확률!$M$2:$M$46, "&lt;=20"))</f>
        <v/>
      </c>
      <c r="K1045" s="27">
        <f>SUMPRODUCT(COUNTIFS(확률!$J$2:$J$46, 원본!B1045:G1045, 확률!$M$2:$M$46, "&gt;=36"))</f>
        <v/>
      </c>
      <c r="L1045" s="27">
        <f>6-J1045-K1045</f>
        <v/>
      </c>
    </row>
    <row r="1046" ht="16.4" customHeight="1" s="28">
      <c r="A1046" s="31" t="n">
        <v>1045</v>
      </c>
      <c r="B1046" s="27" t="n">
        <v>6</v>
      </c>
      <c r="C1046" s="27" t="n">
        <v>14</v>
      </c>
      <c r="D1046" s="27" t="n">
        <v>15</v>
      </c>
      <c r="E1046" s="27" t="n">
        <v>19</v>
      </c>
      <c r="F1046" s="27" t="n">
        <v>21</v>
      </c>
      <c r="G1046" s="27" t="n">
        <v>41</v>
      </c>
      <c r="H1046" s="27" t="n">
        <v>37</v>
      </c>
      <c r="J1046" s="27">
        <f>SUMPRODUCT(COUNTIFS(확률!$J$2:$J$46, 원본!B1046:G1046, 확률!$M$2:$M$46, "&lt;=20"))</f>
        <v/>
      </c>
      <c r="K1046" s="27">
        <f>SUMPRODUCT(COUNTIFS(확률!$J$2:$J$46, 원본!B1046:G1046, 확률!$M$2:$M$46, "&gt;=36"))</f>
        <v/>
      </c>
      <c r="L1046" s="27">
        <f>6-J1046-K1046</f>
        <v/>
      </c>
    </row>
    <row r="1047" ht="16.4" customHeight="1" s="28">
      <c r="A1047" s="31" t="n">
        <v>1046</v>
      </c>
      <c r="B1047" s="27" t="n">
        <v>7</v>
      </c>
      <c r="C1047" s="27" t="n">
        <v>16</v>
      </c>
      <c r="D1047" s="27" t="n">
        <v>25</v>
      </c>
      <c r="E1047" s="27" t="n">
        <v>29</v>
      </c>
      <c r="F1047" s="27" t="n">
        <v>35</v>
      </c>
      <c r="G1047" s="27" t="n">
        <v>36</v>
      </c>
      <c r="H1047" s="27" t="n">
        <v>28</v>
      </c>
      <c r="J1047" s="27">
        <f>SUMPRODUCT(COUNTIFS(확률!$J$2:$J$46, 원본!B1047:G1047, 확률!$M$2:$M$46, "&lt;=20"))</f>
        <v/>
      </c>
      <c r="K1047" s="27">
        <f>SUMPRODUCT(COUNTIFS(확률!$J$2:$J$46, 원본!B1047:G1047, 확률!$M$2:$M$46, "&gt;=36"))</f>
        <v/>
      </c>
      <c r="L1047" s="27">
        <f>6-J1047-K1047</f>
        <v/>
      </c>
    </row>
    <row r="1048" ht="16.4" customHeight="1" s="28">
      <c r="A1048" s="31" t="n">
        <v>1047</v>
      </c>
      <c r="B1048" s="27" t="n">
        <v>2</v>
      </c>
      <c r="C1048" s="27" t="n">
        <v>20</v>
      </c>
      <c r="D1048" s="27" t="n">
        <v>33</v>
      </c>
      <c r="E1048" s="27" t="n">
        <v>40</v>
      </c>
      <c r="F1048" s="27" t="n">
        <v>42</v>
      </c>
      <c r="G1048" s="27" t="n">
        <v>44</v>
      </c>
      <c r="H1048" s="27" t="n">
        <v>32</v>
      </c>
      <c r="J1048" s="27">
        <f>SUMPRODUCT(COUNTIFS(확률!$J$2:$J$46, 원본!B1048:G1048, 확률!$M$2:$M$46, "&lt;=20"))</f>
        <v/>
      </c>
      <c r="K1048" s="27">
        <f>SUMPRODUCT(COUNTIFS(확률!$J$2:$J$46, 원본!B1048:G1048, 확률!$M$2:$M$46, "&gt;=36"))</f>
        <v/>
      </c>
      <c r="L1048" s="27">
        <f>6-J1048-K1048</f>
        <v/>
      </c>
    </row>
    <row r="1049" ht="16.4" customHeight="1" s="28">
      <c r="A1049" s="31" t="n">
        <v>1048</v>
      </c>
      <c r="B1049" s="27" t="n">
        <v>6</v>
      </c>
      <c r="C1049" s="27" t="n">
        <v>12</v>
      </c>
      <c r="D1049" s="27" t="n">
        <v>17</v>
      </c>
      <c r="E1049" s="27" t="n">
        <v>21</v>
      </c>
      <c r="F1049" s="27" t="n">
        <v>32</v>
      </c>
      <c r="G1049" s="27" t="n">
        <v>39</v>
      </c>
      <c r="H1049" s="27" t="n">
        <v>30</v>
      </c>
      <c r="J1049" s="27">
        <f>SUMPRODUCT(COUNTIFS(확률!$J$2:$J$46, 원본!B1049:G1049, 확률!$M$2:$M$46, "&lt;=20"))</f>
        <v/>
      </c>
      <c r="K1049" s="27">
        <f>SUMPRODUCT(COUNTIFS(확률!$J$2:$J$46, 원본!B1049:G1049, 확률!$M$2:$M$46, "&gt;=36"))</f>
        <v/>
      </c>
      <c r="L1049" s="27">
        <f>6-J1049-K1049</f>
        <v/>
      </c>
    </row>
    <row r="1050" ht="16.4" customHeight="1" s="28">
      <c r="A1050" s="31" t="n">
        <v>1049</v>
      </c>
      <c r="B1050" s="27" t="n">
        <v>3</v>
      </c>
      <c r="C1050" s="27" t="n">
        <v>5</v>
      </c>
      <c r="D1050" s="27" t="n">
        <v>13</v>
      </c>
      <c r="E1050" s="27" t="n">
        <v>20</v>
      </c>
      <c r="F1050" s="27" t="n">
        <v>21</v>
      </c>
      <c r="G1050" s="27" t="n">
        <v>37</v>
      </c>
      <c r="H1050" s="27" t="n">
        <v>17</v>
      </c>
      <c r="J1050" s="27">
        <f>SUMPRODUCT(COUNTIFS(확률!$J$2:$J$46, 원본!B1050:G1050, 확률!$M$2:$M$46, "&lt;=20"))</f>
        <v/>
      </c>
      <c r="K1050" s="27">
        <f>SUMPRODUCT(COUNTIFS(확률!$J$2:$J$46, 원본!B1050:G1050, 확률!$M$2:$M$46, "&gt;=36"))</f>
        <v/>
      </c>
      <c r="L1050" s="27">
        <f>6-J1050-K1050</f>
        <v/>
      </c>
    </row>
    <row r="1051" ht="16.4" customHeight="1" s="28">
      <c r="A1051" s="31" t="n">
        <v>1050</v>
      </c>
      <c r="B1051" s="27" t="n">
        <v>6</v>
      </c>
      <c r="C1051" s="27" t="n">
        <v>12</v>
      </c>
      <c r="D1051" s="27" t="n">
        <v>31</v>
      </c>
      <c r="E1051" s="27" t="n">
        <v>35</v>
      </c>
      <c r="F1051" s="27" t="n">
        <v>38</v>
      </c>
      <c r="G1051" s="27" t="n">
        <v>43</v>
      </c>
      <c r="H1051" s="27" t="n">
        <v>17</v>
      </c>
      <c r="J1051" s="27">
        <f>SUMPRODUCT(COUNTIFS(확률!$J$2:$J$46, 원본!B1051:G1051, 확률!$M$2:$M$46, "&lt;=20"))</f>
        <v/>
      </c>
      <c r="K1051" s="27">
        <f>SUMPRODUCT(COUNTIFS(확률!$J$2:$J$46, 원본!B1051:G1051, 확률!$M$2:$M$46, "&gt;=36"))</f>
        <v/>
      </c>
      <c r="L1051" s="27">
        <f>6-J1051-K1051</f>
        <v/>
      </c>
    </row>
    <row r="1052" ht="16.4" customHeight="1" s="28">
      <c r="A1052" s="31" t="n">
        <v>1051</v>
      </c>
      <c r="B1052" s="27" t="n">
        <v>21</v>
      </c>
      <c r="C1052" s="27" t="n">
        <v>26</v>
      </c>
      <c r="D1052" s="27" t="n">
        <v>30</v>
      </c>
      <c r="E1052" s="27" t="n">
        <v>32</v>
      </c>
      <c r="F1052" s="27" t="n">
        <v>33</v>
      </c>
      <c r="G1052" s="27" t="n">
        <v>35</v>
      </c>
      <c r="H1052" s="27" t="n">
        <v>44</v>
      </c>
      <c r="J1052" s="27">
        <f>SUMPRODUCT(COUNTIFS(확률!$J$2:$J$46, 원본!B1052:G1052, 확률!$M$2:$M$46, "&lt;=20"))</f>
        <v/>
      </c>
      <c r="K1052" s="27">
        <f>SUMPRODUCT(COUNTIFS(확률!$J$2:$J$46, 원본!B1052:G1052, 확률!$M$2:$M$46, "&gt;=36"))</f>
        <v/>
      </c>
      <c r="L1052" s="27">
        <f>6-J1052-K1052</f>
        <v/>
      </c>
    </row>
    <row r="1053" ht="16.4" customHeight="1" s="28">
      <c r="A1053" s="31" t="n">
        <v>1052</v>
      </c>
      <c r="B1053" s="27" t="n">
        <v>5</v>
      </c>
      <c r="C1053" s="27" t="n">
        <v>17</v>
      </c>
      <c r="D1053" s="27" t="n">
        <v>26</v>
      </c>
      <c r="E1053" s="27" t="n">
        <v>27</v>
      </c>
      <c r="F1053" s="27" t="n">
        <v>35</v>
      </c>
      <c r="G1053" s="27" t="n">
        <v>38</v>
      </c>
      <c r="H1053" s="27" t="n">
        <v>1</v>
      </c>
      <c r="J1053" s="27">
        <f>SUMPRODUCT(COUNTIFS(확률!$J$2:$J$46, 원본!B1053:G1053, 확률!$M$2:$M$46, "&lt;=20"))</f>
        <v/>
      </c>
      <c r="K1053" s="27">
        <f>SUMPRODUCT(COUNTIFS(확률!$J$2:$J$46, 원본!B1053:G1053, 확률!$M$2:$M$46, "&gt;=36"))</f>
        <v/>
      </c>
      <c r="L1053" s="27">
        <f>6-J1053-K1053</f>
        <v/>
      </c>
    </row>
    <row r="1054" ht="16.4" customHeight="1" s="28">
      <c r="A1054" s="31" t="n">
        <v>1053</v>
      </c>
      <c r="B1054" s="27" t="n">
        <v>22</v>
      </c>
      <c r="C1054" s="27" t="n">
        <v>26</v>
      </c>
      <c r="D1054" s="27" t="n">
        <v>29</v>
      </c>
      <c r="E1054" s="27" t="n">
        <v>30</v>
      </c>
      <c r="F1054" s="27" t="n">
        <v>34</v>
      </c>
      <c r="G1054" s="27" t="n">
        <v>45</v>
      </c>
      <c r="H1054" s="27" t="n">
        <v>15</v>
      </c>
      <c r="J1054" s="27">
        <f>SUMPRODUCT(COUNTIFS(확률!$J$2:$J$46, 원본!B1054:G1054, 확률!$M$2:$M$46, "&lt;=20"))</f>
        <v/>
      </c>
      <c r="K1054" s="27">
        <f>SUMPRODUCT(COUNTIFS(확률!$J$2:$J$46, 원본!B1054:G1054, 확률!$M$2:$M$46, "&gt;=36"))</f>
        <v/>
      </c>
      <c r="L1054" s="27">
        <f>6-J1054-K1054</f>
        <v/>
      </c>
    </row>
    <row r="1055" ht="16.4" customHeight="1" s="28">
      <c r="A1055" s="31" t="n">
        <v>1054</v>
      </c>
      <c r="B1055" s="27" t="n">
        <v>14</v>
      </c>
      <c r="C1055" s="27" t="n">
        <v>19</v>
      </c>
      <c r="D1055" s="27" t="n">
        <v>27</v>
      </c>
      <c r="E1055" s="27" t="n">
        <v>28</v>
      </c>
      <c r="F1055" s="27" t="n">
        <v>30</v>
      </c>
      <c r="G1055" s="27" t="n">
        <v>45</v>
      </c>
      <c r="H1055" s="27" t="n">
        <v>33</v>
      </c>
      <c r="J1055" s="27">
        <f>SUMPRODUCT(COUNTIFS(확률!$J$2:$J$46, 원본!B1055:G1055, 확률!$M$2:$M$46, "&lt;=20"))</f>
        <v/>
      </c>
      <c r="K1055" s="27">
        <f>SUMPRODUCT(COUNTIFS(확률!$J$2:$J$46, 원본!B1055:G1055, 확률!$M$2:$M$46, "&gt;=36"))</f>
        <v/>
      </c>
      <c r="L1055" s="27">
        <f>6-J1055-K1055</f>
        <v/>
      </c>
    </row>
    <row r="1056" ht="16.4" customHeight="1" s="28">
      <c r="A1056" s="31" t="n">
        <v>1055</v>
      </c>
      <c r="B1056" s="27" t="n">
        <v>4</v>
      </c>
      <c r="C1056" s="27" t="n">
        <v>7</v>
      </c>
      <c r="D1056" s="27" t="n">
        <v>12</v>
      </c>
      <c r="E1056" s="27" t="n">
        <v>14</v>
      </c>
      <c r="F1056" s="27" t="n">
        <v>22</v>
      </c>
      <c r="G1056" s="27" t="n">
        <v>33</v>
      </c>
      <c r="H1056" s="27" t="n">
        <v>31</v>
      </c>
      <c r="J1056" s="27">
        <f>SUMPRODUCT(COUNTIFS(확률!$J$2:$J$46, 원본!B1056:G1056, 확률!$M$2:$M$46, "&lt;=20"))</f>
        <v/>
      </c>
      <c r="K1056" s="27">
        <f>SUMPRODUCT(COUNTIFS(확률!$J$2:$J$46, 원본!B1056:G1056, 확률!$M$2:$M$46, "&gt;=36"))</f>
        <v/>
      </c>
      <c r="L1056" s="27">
        <f>6-J1056-K1056</f>
        <v/>
      </c>
    </row>
    <row r="1057" ht="16.4" customHeight="1" s="28">
      <c r="A1057" s="31" t="n">
        <v>1056</v>
      </c>
      <c r="B1057" s="27" t="n">
        <v>13</v>
      </c>
      <c r="C1057" s="27" t="n">
        <v>20</v>
      </c>
      <c r="D1057" s="27" t="n">
        <v>24</v>
      </c>
      <c r="E1057" s="27" t="n">
        <v>32</v>
      </c>
      <c r="F1057" s="27" t="n">
        <v>36</v>
      </c>
      <c r="G1057" s="27" t="n">
        <v>45</v>
      </c>
      <c r="H1057" s="27" t="n">
        <v>29</v>
      </c>
      <c r="J1057" s="27">
        <f>SUMPRODUCT(COUNTIFS(확률!$J$2:$J$46, 원본!B1057:G1057, 확률!$M$2:$M$46, "&lt;=20"))</f>
        <v/>
      </c>
      <c r="K1057" s="27">
        <f>SUMPRODUCT(COUNTIFS(확률!$J$2:$J$46, 원본!B1057:G1057, 확률!$M$2:$M$46, "&gt;=36"))</f>
        <v/>
      </c>
      <c r="L1057" s="27">
        <f>6-J1057-K1057</f>
        <v/>
      </c>
    </row>
    <row r="1058" ht="16.4" customHeight="1" s="28">
      <c r="A1058" s="31" t="n">
        <v>1057</v>
      </c>
      <c r="B1058" s="27" t="n">
        <v>8</v>
      </c>
      <c r="C1058" s="27" t="n">
        <v>13</v>
      </c>
      <c r="D1058" s="27" t="n">
        <v>19</v>
      </c>
      <c r="E1058" s="27" t="n">
        <v>27</v>
      </c>
      <c r="F1058" s="27" t="n">
        <v>40</v>
      </c>
      <c r="G1058" s="27" t="n">
        <v>45</v>
      </c>
      <c r="H1058" s="27" t="n">
        <v>12</v>
      </c>
      <c r="J1058" s="27">
        <f>SUMPRODUCT(COUNTIFS(확률!$J$2:$J$46, 원본!B1058:G1058, 확률!$M$2:$M$46, "&lt;=20"))</f>
        <v/>
      </c>
      <c r="K1058" s="27">
        <f>SUMPRODUCT(COUNTIFS(확률!$J$2:$J$46, 원본!B1058:G1058, 확률!$M$2:$M$46, "&gt;=36"))</f>
        <v/>
      </c>
      <c r="L1058" s="27">
        <f>6-J1058-K1058</f>
        <v/>
      </c>
    </row>
    <row r="1059" ht="16.4" customHeight="1" s="28">
      <c r="A1059" s="31" t="n">
        <v>1058</v>
      </c>
      <c r="B1059" s="27" t="n">
        <v>11</v>
      </c>
      <c r="C1059" s="27" t="n">
        <v>23</v>
      </c>
      <c r="D1059" s="27" t="n">
        <v>25</v>
      </c>
      <c r="E1059" s="27" t="n">
        <v>30</v>
      </c>
      <c r="F1059" s="27" t="n">
        <v>32</v>
      </c>
      <c r="G1059" s="27" t="n">
        <v>40</v>
      </c>
      <c r="H1059" s="27" t="n">
        <v>42</v>
      </c>
      <c r="J1059" s="27">
        <f>SUMPRODUCT(COUNTIFS(확률!$J$2:$J$46, 원본!B1059:G1059, 확률!$M$2:$M$46, "&lt;=20"))</f>
        <v/>
      </c>
      <c r="K1059" s="27">
        <f>SUMPRODUCT(COUNTIFS(확률!$J$2:$J$46, 원본!B1059:G1059, 확률!$M$2:$M$46, "&gt;=36"))</f>
        <v/>
      </c>
      <c r="L1059" s="27">
        <f>6-J1059-K1059</f>
        <v/>
      </c>
    </row>
    <row r="1060" ht="16.4" customHeight="1" s="28">
      <c r="A1060" s="31" t="n">
        <v>1059</v>
      </c>
      <c r="B1060" s="27" t="n">
        <v>7</v>
      </c>
      <c r="C1060" s="27" t="n">
        <v>10</v>
      </c>
      <c r="D1060" s="27" t="n">
        <v>22</v>
      </c>
      <c r="E1060" s="27" t="n">
        <v>25</v>
      </c>
      <c r="F1060" s="27" t="n">
        <v>34</v>
      </c>
      <c r="G1060" s="27" t="n">
        <v>40</v>
      </c>
      <c r="H1060" s="27" t="n">
        <v>27</v>
      </c>
      <c r="J1060" s="27">
        <f>SUMPRODUCT(COUNTIFS(확률!$J$2:$J$46, 원본!B1060:G1060, 확률!$M$2:$M$46, "&lt;=20"))</f>
        <v/>
      </c>
      <c r="K1060" s="27">
        <f>SUMPRODUCT(COUNTIFS(확률!$J$2:$J$46, 원본!B1060:G1060, 확률!$M$2:$M$46, "&gt;=36"))</f>
        <v/>
      </c>
      <c r="L1060" s="27">
        <f>6-J1060-K1060</f>
        <v/>
      </c>
    </row>
    <row r="1061" ht="16.4" customHeight="1" s="28">
      <c r="A1061" s="31" t="n">
        <v>1060</v>
      </c>
      <c r="B1061" s="27" t="n">
        <v>3</v>
      </c>
      <c r="C1061" s="27" t="n">
        <v>10</v>
      </c>
      <c r="D1061" s="27" t="n">
        <v>24</v>
      </c>
      <c r="E1061" s="27" t="n">
        <v>33</v>
      </c>
      <c r="F1061" s="27" t="n">
        <v>38</v>
      </c>
      <c r="G1061" s="27" t="n">
        <v>45</v>
      </c>
      <c r="H1061" s="27" t="n">
        <v>36</v>
      </c>
      <c r="J1061" s="27">
        <f>SUMPRODUCT(COUNTIFS(확률!$J$2:$J$46, 원본!B1061:G1061, 확률!$M$2:$M$46, "&lt;=20"))</f>
        <v/>
      </c>
      <c r="K1061" s="27">
        <f>SUMPRODUCT(COUNTIFS(확률!$J$2:$J$46, 원본!B1061:G1061, 확률!$M$2:$M$46, "&gt;=36"))</f>
        <v/>
      </c>
      <c r="L1061" s="27">
        <f>6-J1061-K1061</f>
        <v/>
      </c>
    </row>
    <row r="1062" ht="16.4" customHeight="1" s="28">
      <c r="A1062" s="31" t="n">
        <v>1061</v>
      </c>
      <c r="B1062" s="27" t="n">
        <v>4</v>
      </c>
      <c r="C1062" s="27" t="n">
        <v>24</v>
      </c>
      <c r="D1062" s="27" t="n">
        <v>27</v>
      </c>
      <c r="E1062" s="27" t="n">
        <v>35</v>
      </c>
      <c r="F1062" s="27" t="n">
        <v>37</v>
      </c>
      <c r="G1062" s="27" t="n">
        <v>45</v>
      </c>
      <c r="H1062" s="27" t="n">
        <v>15</v>
      </c>
      <c r="J1062" s="27">
        <f>SUMPRODUCT(COUNTIFS(확률!$J$2:$J$46, 원본!B1062:G1062, 확률!$M$2:$M$46, "&lt;=20"))</f>
        <v/>
      </c>
      <c r="K1062" s="27">
        <f>SUMPRODUCT(COUNTIFS(확률!$J$2:$J$46, 원본!B1062:G1062, 확률!$M$2:$M$46, "&gt;=36"))</f>
        <v/>
      </c>
      <c r="L1062" s="27">
        <f>6-J1062-K1062</f>
        <v/>
      </c>
    </row>
    <row r="1063" ht="16.4" customHeight="1" s="28">
      <c r="A1063" s="31" t="n">
        <v>1062</v>
      </c>
      <c r="B1063" s="27" t="n">
        <v>20</v>
      </c>
      <c r="C1063" s="27" t="n">
        <v>31</v>
      </c>
      <c r="D1063" s="27" t="n">
        <v>32</v>
      </c>
      <c r="E1063" s="27" t="n">
        <v>40</v>
      </c>
      <c r="F1063" s="27" t="n">
        <v>41</v>
      </c>
      <c r="G1063" s="27" t="n">
        <v>45</v>
      </c>
      <c r="H1063" s="27" t="n">
        <v>12</v>
      </c>
      <c r="J1063" s="27">
        <f>SUMPRODUCT(COUNTIFS(확률!$J$2:$J$46, 원본!B1063:G1063, 확률!$M$2:$M$46, "&lt;=20"))</f>
        <v/>
      </c>
      <c r="K1063" s="27">
        <f>SUMPRODUCT(COUNTIFS(확률!$J$2:$J$46, 원본!B1063:G1063, 확률!$M$2:$M$46, "&gt;=36"))</f>
        <v/>
      </c>
      <c r="L1063" s="27">
        <f>6-J1063-K1063</f>
        <v/>
      </c>
    </row>
    <row r="1064" ht="16.4" customHeight="1" s="28">
      <c r="A1064" s="31" t="n">
        <v>1063</v>
      </c>
      <c r="B1064" s="27" t="n">
        <v>3</v>
      </c>
      <c r="C1064" s="27" t="n">
        <v>6</v>
      </c>
      <c r="D1064" s="27" t="n">
        <v>22</v>
      </c>
      <c r="E1064" s="27" t="n">
        <v>23</v>
      </c>
      <c r="F1064" s="27" t="n">
        <v>24</v>
      </c>
      <c r="G1064" s="27" t="n">
        <v>38</v>
      </c>
      <c r="H1064" s="27" t="n">
        <v>30</v>
      </c>
      <c r="J1064" s="27">
        <f>SUMPRODUCT(COUNTIFS(확률!$J$2:$J$46, 원본!B1064:G1064, 확률!$M$2:$M$46, "&lt;=20"))</f>
        <v/>
      </c>
      <c r="K1064" s="27">
        <f>SUMPRODUCT(COUNTIFS(확률!$J$2:$J$46, 원본!B1064:G1064, 확률!$M$2:$M$46, "&gt;=36"))</f>
        <v/>
      </c>
      <c r="L1064" s="27">
        <f>6-J1064-K1064</f>
        <v/>
      </c>
    </row>
    <row r="1065" ht="16.4" customHeight="1" s="28">
      <c r="A1065" s="31" t="n">
        <v>1064</v>
      </c>
      <c r="B1065" s="27" t="n">
        <v>3</v>
      </c>
      <c r="C1065" s="27" t="n">
        <v>6</v>
      </c>
      <c r="D1065" s="27" t="n">
        <v>9</v>
      </c>
      <c r="E1065" s="27" t="n">
        <v>18</v>
      </c>
      <c r="F1065" s="27" t="n">
        <v>22</v>
      </c>
      <c r="G1065" s="27" t="n">
        <v>35</v>
      </c>
      <c r="H1065" s="27" t="n">
        <v>14</v>
      </c>
      <c r="J1065" s="27">
        <f>SUMPRODUCT(COUNTIFS(확률!$J$2:$J$46, 원본!B1065:G1065, 확률!$M$2:$M$46, "&lt;=20"))</f>
        <v/>
      </c>
      <c r="K1065" s="27">
        <f>SUMPRODUCT(COUNTIFS(확률!$J$2:$J$46, 원본!B1065:G1065, 확률!$M$2:$M$46, "&gt;=36"))</f>
        <v/>
      </c>
      <c r="L1065" s="27">
        <f>6-J1065-K1065</f>
        <v/>
      </c>
    </row>
    <row r="1066" ht="16.4" customHeight="1" s="28">
      <c r="A1066" s="31" t="n">
        <v>1065</v>
      </c>
      <c r="B1066" s="27" t="n">
        <v>3</v>
      </c>
      <c r="C1066" s="27" t="n">
        <v>18</v>
      </c>
      <c r="D1066" s="27" t="n">
        <v>19</v>
      </c>
      <c r="E1066" s="27" t="n">
        <v>23</v>
      </c>
      <c r="F1066" s="27" t="n">
        <v>32</v>
      </c>
      <c r="G1066" s="27" t="n">
        <v>45</v>
      </c>
      <c r="H1066" s="27" t="n">
        <v>24</v>
      </c>
      <c r="J1066" s="27">
        <f>SUMPRODUCT(COUNTIFS(확률!$J$2:$J$46, 원본!B1066:G1066, 확률!$M$2:$M$46, "&lt;=20"))</f>
        <v/>
      </c>
      <c r="K1066" s="27">
        <f>SUMPRODUCT(COUNTIFS(확률!$J$2:$J$46, 원본!B1066:G1066, 확률!$M$2:$M$46, "&gt;=36"))</f>
        <v/>
      </c>
      <c r="L1066" s="27">
        <f>6-J1066-K1066</f>
        <v/>
      </c>
    </row>
    <row r="1067" ht="16.4" customHeight="1" s="28">
      <c r="A1067" s="31" t="n">
        <v>1066</v>
      </c>
      <c r="B1067" s="27" t="n">
        <v>6</v>
      </c>
      <c r="C1067" s="27" t="n">
        <v>11</v>
      </c>
      <c r="D1067" s="27" t="n">
        <v>16</v>
      </c>
      <c r="E1067" s="27" t="n">
        <v>19</v>
      </c>
      <c r="F1067" s="27" t="n">
        <v>21</v>
      </c>
      <c r="G1067" s="27" t="n">
        <v>32</v>
      </c>
      <c r="H1067" s="27" t="n">
        <v>45</v>
      </c>
      <c r="J1067" s="27">
        <f>SUMPRODUCT(COUNTIFS(확률!$J$2:$J$46, 원본!B1067:G1067, 확률!$M$2:$M$46, "&lt;=20"))</f>
        <v/>
      </c>
      <c r="K1067" s="27">
        <f>SUMPRODUCT(COUNTIFS(확률!$J$2:$J$46, 원본!B1067:G1067, 확률!$M$2:$M$46, "&gt;=36"))</f>
        <v/>
      </c>
      <c r="L1067" s="27">
        <f>6-J1067-K1067</f>
        <v/>
      </c>
    </row>
    <row r="1068" ht="16.4" customHeight="1" s="28">
      <c r="A1068" s="31" t="n">
        <v>1067</v>
      </c>
      <c r="B1068" s="27" t="n">
        <v>7</v>
      </c>
      <c r="C1068" s="27" t="n">
        <v>10</v>
      </c>
      <c r="D1068" s="27" t="n">
        <v>19</v>
      </c>
      <c r="E1068" s="27" t="n">
        <v>23</v>
      </c>
      <c r="F1068" s="27" t="n">
        <v>28</v>
      </c>
      <c r="G1068" s="27" t="n">
        <v>33</v>
      </c>
      <c r="H1068" s="27" t="n">
        <v>18</v>
      </c>
      <c r="J1068" s="27">
        <f>SUMPRODUCT(COUNTIFS(확률!$J$2:$J$46, 원본!B1068:G1068, 확률!$M$2:$M$46, "&lt;=20"))</f>
        <v/>
      </c>
      <c r="K1068" s="27">
        <f>SUMPRODUCT(COUNTIFS(확률!$J$2:$J$46, 원본!B1068:G1068, 확률!$M$2:$M$46, "&gt;=36"))</f>
        <v/>
      </c>
      <c r="L1068" s="27">
        <f>6-J1068-K1068</f>
        <v/>
      </c>
    </row>
    <row r="1069" ht="16.4" customHeight="1" s="28">
      <c r="A1069" s="31" t="n">
        <v>1068</v>
      </c>
      <c r="B1069" s="27" t="n">
        <v>4</v>
      </c>
      <c r="C1069" s="27" t="n">
        <v>7</v>
      </c>
      <c r="D1069" s="27" t="n">
        <v>19</v>
      </c>
      <c r="E1069" s="27" t="n">
        <v>26</v>
      </c>
      <c r="F1069" s="27" t="n">
        <v>33</v>
      </c>
      <c r="G1069" s="27" t="n">
        <v>35</v>
      </c>
      <c r="H1069" s="27" t="n">
        <v>3</v>
      </c>
      <c r="J1069" s="27">
        <f>SUMPRODUCT(COUNTIFS(확률!$J$2:$J$46, 원본!B1069:G1069, 확률!$M$2:$M$46, "&lt;=20"))</f>
        <v/>
      </c>
      <c r="K1069" s="27">
        <f>SUMPRODUCT(COUNTIFS(확률!$J$2:$J$46, 원본!B1069:G1069, 확률!$M$2:$M$46, "&gt;=36"))</f>
        <v/>
      </c>
      <c r="L1069" s="27">
        <f>6-J1069-K1069</f>
        <v/>
      </c>
    </row>
    <row r="1070" ht="16.4" customHeight="1" s="28">
      <c r="A1070" s="31" t="n">
        <v>1069</v>
      </c>
      <c r="B1070" s="27" t="n">
        <v>1</v>
      </c>
      <c r="C1070" s="27" t="n">
        <v>10</v>
      </c>
      <c r="D1070" s="27" t="n">
        <v>18</v>
      </c>
      <c r="E1070" s="27" t="n">
        <v>22</v>
      </c>
      <c r="F1070" s="27" t="n">
        <v>28</v>
      </c>
      <c r="G1070" s="27" t="n">
        <v>31</v>
      </c>
      <c r="H1070" s="27" t="n">
        <v>44</v>
      </c>
      <c r="J1070" s="27">
        <f>SUMPRODUCT(COUNTIFS(확률!$J$2:$J$46, 원본!B1070:G1070, 확률!$M$2:$M$46, "&lt;=20"))</f>
        <v/>
      </c>
      <c r="K1070" s="27">
        <f>SUMPRODUCT(COUNTIFS(확률!$J$2:$J$46, 원본!B1070:G1070, 확률!$M$2:$M$46, "&gt;=36"))</f>
        <v/>
      </c>
      <c r="L1070" s="27">
        <f>6-J1070-K1070</f>
        <v/>
      </c>
    </row>
    <row r="1071" ht="16.4" customHeight="1" s="28">
      <c r="A1071" s="31" t="n">
        <v>1070</v>
      </c>
      <c r="B1071" s="27" t="n">
        <v>3</v>
      </c>
      <c r="C1071" s="27" t="n">
        <v>6</v>
      </c>
      <c r="D1071" s="27" t="n">
        <v>14</v>
      </c>
      <c r="E1071" s="27" t="n">
        <v>22</v>
      </c>
      <c r="F1071" s="27" t="n">
        <v>30</v>
      </c>
      <c r="G1071" s="27" t="n">
        <v>41</v>
      </c>
      <c r="H1071" s="27" t="n">
        <v>36</v>
      </c>
      <c r="J1071" s="27">
        <f>SUMPRODUCT(COUNTIFS(확률!$J$2:$J$46, 원본!B1071:G1071, 확률!$M$2:$M$46, "&lt;=20"))</f>
        <v/>
      </c>
      <c r="K1071" s="27">
        <f>SUMPRODUCT(COUNTIFS(확률!$J$2:$J$46, 원본!B1071:G1071, 확률!$M$2:$M$46, "&gt;=36"))</f>
        <v/>
      </c>
      <c r="L1071" s="27">
        <f>6-J1071-K1071</f>
        <v/>
      </c>
    </row>
    <row r="1072" ht="16.4" customHeight="1" s="28">
      <c r="A1072" s="31" t="n">
        <v>1071</v>
      </c>
      <c r="B1072" s="27" t="n">
        <v>1</v>
      </c>
      <c r="C1072" s="27" t="n">
        <v>2</v>
      </c>
      <c r="D1072" s="27" t="n">
        <v>11</v>
      </c>
      <c r="E1072" s="27" t="n">
        <v>21</v>
      </c>
      <c r="F1072" s="27" t="n">
        <v>30</v>
      </c>
      <c r="G1072" s="27" t="n">
        <v>35</v>
      </c>
      <c r="H1072" s="27" t="n">
        <v>39</v>
      </c>
      <c r="J1072" s="27">
        <f>SUMPRODUCT(COUNTIFS(확률!$J$2:$J$46, 원본!B1072:G1072, 확률!$M$2:$M$46, "&lt;=20"))</f>
        <v/>
      </c>
      <c r="K1072" s="27">
        <f>SUMPRODUCT(COUNTIFS(확률!$J$2:$J$46, 원본!B1072:G1072, 확률!$M$2:$M$46, "&gt;=36"))</f>
        <v/>
      </c>
      <c r="L1072" s="27">
        <f>6-J1072-K1072</f>
        <v/>
      </c>
    </row>
    <row r="1073" ht="16.4" customHeight="1" s="28">
      <c r="A1073" s="31" t="n">
        <v>1072</v>
      </c>
      <c r="B1073" s="27" t="n">
        <v>16</v>
      </c>
      <c r="C1073" s="27" t="n">
        <v>18</v>
      </c>
      <c r="D1073" s="27" t="n">
        <v>20</v>
      </c>
      <c r="E1073" s="27" t="n">
        <v>23</v>
      </c>
      <c r="F1073" s="27" t="n">
        <v>32</v>
      </c>
      <c r="G1073" s="27" t="n">
        <v>43</v>
      </c>
      <c r="H1073" s="27" t="n">
        <v>27</v>
      </c>
      <c r="J1073" s="27">
        <f>SUMPRODUCT(COUNTIFS(확률!$J$2:$J$46, 원본!B1073:G1073, 확률!$M$2:$M$46, "&lt;=20"))</f>
        <v/>
      </c>
      <c r="K1073" s="27">
        <f>SUMPRODUCT(COUNTIFS(확률!$J$2:$J$46, 원본!B1073:G1073, 확률!$M$2:$M$46, "&gt;=36"))</f>
        <v/>
      </c>
      <c r="L1073" s="27">
        <f>6-J1073-K1073</f>
        <v/>
      </c>
    </row>
    <row r="1074" ht="16.4" customHeight="1" s="28">
      <c r="A1074" s="31" t="n">
        <v>1073</v>
      </c>
      <c r="B1074" s="27" t="n">
        <v>6</v>
      </c>
      <c r="C1074" s="27" t="n">
        <v>18</v>
      </c>
      <c r="D1074" s="27" t="n">
        <v>28</v>
      </c>
      <c r="E1074" s="27" t="n">
        <v>30</v>
      </c>
      <c r="F1074" s="27" t="n">
        <v>32</v>
      </c>
      <c r="G1074" s="27" t="n">
        <v>38</v>
      </c>
      <c r="H1074" s="27" t="n">
        <v>15</v>
      </c>
      <c r="J1074" s="27">
        <f>SUMPRODUCT(COUNTIFS(확률!$J$2:$J$46, 원본!B1074:G1074, 확률!$M$2:$M$46, "&lt;=20"))</f>
        <v/>
      </c>
      <c r="K1074" s="27">
        <f>SUMPRODUCT(COUNTIFS(확률!$J$2:$J$46, 원본!B1074:G1074, 확률!$M$2:$M$46, "&gt;=36"))</f>
        <v/>
      </c>
      <c r="L1074" s="27">
        <f>6-J1074-K1074</f>
        <v/>
      </c>
    </row>
    <row r="1075" ht="16.4" customHeight="1" s="28">
      <c r="A1075" s="31" t="n">
        <v>1074</v>
      </c>
      <c r="B1075" s="27" t="n">
        <v>1</v>
      </c>
      <c r="C1075" s="27" t="n">
        <v>6</v>
      </c>
      <c r="D1075" s="27" t="n">
        <v>20</v>
      </c>
      <c r="E1075" s="27" t="n">
        <v>27</v>
      </c>
      <c r="F1075" s="27" t="n">
        <v>28</v>
      </c>
      <c r="G1075" s="27" t="n">
        <v>41</v>
      </c>
      <c r="H1075" s="27" t="n">
        <v>15</v>
      </c>
      <c r="J1075" s="27">
        <f>SUMPRODUCT(COUNTIFS(확률!$J$2:$J$46, 원본!B1075:G1075, 확률!$M$2:$M$46, "&lt;=20"))</f>
        <v/>
      </c>
      <c r="K1075" s="27">
        <f>SUMPRODUCT(COUNTIFS(확률!$J$2:$J$46, 원본!B1075:G1075, 확률!$M$2:$M$46, "&gt;=36"))</f>
        <v/>
      </c>
      <c r="L1075" s="27">
        <f>6-J1075-K1075</f>
        <v/>
      </c>
    </row>
    <row r="1076" ht="16.4" customHeight="1" s="28">
      <c r="A1076" s="31" t="n">
        <v>1075</v>
      </c>
      <c r="B1076" s="27" t="n">
        <v>1</v>
      </c>
      <c r="C1076" s="27" t="n">
        <v>23</v>
      </c>
      <c r="D1076" s="27" t="n">
        <v>24</v>
      </c>
      <c r="E1076" s="27" t="n">
        <v>35</v>
      </c>
      <c r="F1076" s="27" t="n">
        <v>44</v>
      </c>
      <c r="G1076" s="27" t="n">
        <v>45</v>
      </c>
      <c r="H1076" s="27" t="n">
        <v>10</v>
      </c>
      <c r="J1076" s="27">
        <f>SUMPRODUCT(COUNTIFS(확률!$J$2:$J$46, 원본!B1076:G1076, 확률!$M$2:$M$46, "&lt;=20"))</f>
        <v/>
      </c>
      <c r="K1076" s="27">
        <f>SUMPRODUCT(COUNTIFS(확률!$J$2:$J$46, 원본!B1076:G1076, 확률!$M$2:$M$46, "&gt;=36"))</f>
        <v/>
      </c>
      <c r="L1076" s="27">
        <f>6-J1076-K1076</f>
        <v/>
      </c>
    </row>
    <row r="1077" ht="16.4" customHeight="1" s="28">
      <c r="A1077" s="31" t="n">
        <v>1076</v>
      </c>
      <c r="B1077" s="27" t="n">
        <v>3</v>
      </c>
      <c r="C1077" s="27" t="n">
        <v>7</v>
      </c>
      <c r="D1077" s="27" t="n">
        <v>9</v>
      </c>
      <c r="E1077" s="27" t="n">
        <v>33</v>
      </c>
      <c r="F1077" s="27" t="n">
        <v>36</v>
      </c>
      <c r="G1077" s="27" t="n">
        <v>37</v>
      </c>
      <c r="H1077" s="27" t="n">
        <v>10</v>
      </c>
      <c r="J1077" s="27">
        <f>SUMPRODUCT(COUNTIFS(확률!$J$2:$J$46, 원본!B1077:G1077, 확률!$M$2:$M$46, "&lt;=20"))</f>
        <v/>
      </c>
      <c r="K1077" s="27">
        <f>SUMPRODUCT(COUNTIFS(확률!$J$2:$J$46, 원본!B1077:G1077, 확률!$M$2:$M$46, "&gt;=36"))</f>
        <v/>
      </c>
      <c r="L1077" s="27">
        <f>6-J1077-K1077</f>
        <v/>
      </c>
    </row>
    <row r="1078" ht="16.4" customHeight="1" s="28">
      <c r="A1078" s="31" t="n">
        <v>1077</v>
      </c>
      <c r="B1078" s="27" t="n">
        <v>4</v>
      </c>
      <c r="C1078" s="27" t="n">
        <v>8</v>
      </c>
      <c r="D1078" s="27" t="n">
        <v>17</v>
      </c>
      <c r="E1078" s="27" t="n">
        <v>30</v>
      </c>
      <c r="F1078" s="27" t="n">
        <v>40</v>
      </c>
      <c r="G1078" s="27" t="n">
        <v>43</v>
      </c>
      <c r="H1078" s="27" t="n">
        <v>34</v>
      </c>
      <c r="J1078" s="27">
        <f>SUMPRODUCT(COUNTIFS(확률!$J$2:$J$46, 원본!B1078:G1078, 확률!$M$2:$M$46, "&lt;=20"))</f>
        <v/>
      </c>
      <c r="K1078" s="27">
        <f>SUMPRODUCT(COUNTIFS(확률!$J$2:$J$46, 원본!B1078:G1078, 확률!$M$2:$M$46, "&gt;=36"))</f>
        <v/>
      </c>
      <c r="L1078" s="27">
        <f>6-J1078-K1078</f>
        <v/>
      </c>
    </row>
    <row r="1079" ht="16.4" customHeight="1" s="28">
      <c r="A1079" s="31" t="n">
        <v>1078</v>
      </c>
      <c r="B1079" s="27" t="n">
        <v>6</v>
      </c>
      <c r="C1079" s="27" t="n">
        <v>10</v>
      </c>
      <c r="D1079" s="27" t="n">
        <v>11</v>
      </c>
      <c r="E1079" s="27" t="n">
        <v>14</v>
      </c>
      <c r="F1079" s="27" t="n">
        <v>36</v>
      </c>
      <c r="G1079" s="27" t="n">
        <v>38</v>
      </c>
      <c r="H1079" s="27" t="n">
        <v>43</v>
      </c>
      <c r="J1079" s="27">
        <f>SUMPRODUCT(COUNTIFS(확률!$J$2:$J$46, 원본!B1079:G1079, 확률!$M$2:$M$46, "&lt;=20"))</f>
        <v/>
      </c>
      <c r="K1079" s="27">
        <f>SUMPRODUCT(COUNTIFS(확률!$J$2:$J$46, 원본!B1079:G1079, 확률!$M$2:$M$46, "&gt;=36"))</f>
        <v/>
      </c>
      <c r="L1079" s="27">
        <f>6-J1079-K1079</f>
        <v/>
      </c>
    </row>
    <row r="1080" ht="16.4" customHeight="1" s="28">
      <c r="A1080" s="31" t="n">
        <v>1079</v>
      </c>
      <c r="B1080" s="27" t="n">
        <v>4</v>
      </c>
      <c r="C1080" s="27" t="n">
        <v>8</v>
      </c>
      <c r="D1080" s="27" t="n">
        <v>18</v>
      </c>
      <c r="E1080" s="27" t="n">
        <v>24</v>
      </c>
      <c r="F1080" s="27" t="n">
        <v>37</v>
      </c>
      <c r="G1080" s="27" t="n">
        <v>45</v>
      </c>
      <c r="H1080" s="27" t="n">
        <v>6</v>
      </c>
      <c r="J1080" s="27">
        <f>SUMPRODUCT(COUNTIFS(확률!$J$2:$J$46, 원본!B1080:G1080, 확률!$M$2:$M$46, "&lt;=20"))</f>
        <v/>
      </c>
      <c r="K1080" s="27">
        <f>SUMPRODUCT(COUNTIFS(확률!$J$2:$J$46, 원본!B1080:G1080, 확률!$M$2:$M$46, "&gt;=36"))</f>
        <v/>
      </c>
      <c r="L1080" s="27">
        <f>6-J1080-K1080</f>
        <v/>
      </c>
    </row>
    <row r="1081" ht="16.4" customHeight="1" s="28">
      <c r="A1081" s="31" t="n">
        <v>1080</v>
      </c>
      <c r="B1081" s="27" t="n">
        <v>13</v>
      </c>
      <c r="C1081" s="27" t="n">
        <v>16</v>
      </c>
      <c r="D1081" s="27" t="n">
        <v>23</v>
      </c>
      <c r="E1081" s="27" t="n">
        <v>31</v>
      </c>
      <c r="F1081" s="27" t="n">
        <v>36</v>
      </c>
      <c r="G1081" s="27" t="n">
        <v>44</v>
      </c>
      <c r="H1081" s="27" t="n">
        <v>38</v>
      </c>
      <c r="J1081" s="27">
        <f>SUMPRODUCT(COUNTIFS(확률!$J$2:$J$46, 원본!B1081:G1081, 확률!$M$2:$M$46, "&lt;=20"))</f>
        <v/>
      </c>
      <c r="K1081" s="27">
        <f>SUMPRODUCT(COUNTIFS(확률!$J$2:$J$46, 원본!B1081:G1081, 확률!$M$2:$M$46, "&gt;=36"))</f>
        <v/>
      </c>
      <c r="L1081" s="27">
        <f>6-J1081-K1081</f>
        <v/>
      </c>
    </row>
    <row r="1082" ht="16.4" customHeight="1" s="28">
      <c r="A1082" s="31" t="n">
        <v>1081</v>
      </c>
      <c r="B1082" s="27" t="n">
        <v>1</v>
      </c>
      <c r="C1082" s="27" t="n">
        <v>9</v>
      </c>
      <c r="D1082" s="27" t="n">
        <v>16</v>
      </c>
      <c r="E1082" s="27" t="n">
        <v>23</v>
      </c>
      <c r="F1082" s="27" t="n">
        <v>24</v>
      </c>
      <c r="G1082" s="27" t="n">
        <v>38</v>
      </c>
      <c r="H1082" s="27" t="n">
        <v>17</v>
      </c>
      <c r="J1082" s="27">
        <f>SUMPRODUCT(COUNTIFS(확률!$J$2:$J$46, 원본!B1082:G1082, 확률!$M$2:$M$46, "&lt;=20"))</f>
        <v/>
      </c>
      <c r="K1082" s="27">
        <f>SUMPRODUCT(COUNTIFS(확률!$J$2:$J$46, 원본!B1082:G1082, 확률!$M$2:$M$46, "&gt;=36"))</f>
        <v/>
      </c>
      <c r="L1082" s="27">
        <f>6-J1082-K1082</f>
        <v/>
      </c>
    </row>
    <row r="1083" ht="16.4" customHeight="1" s="28">
      <c r="A1083" s="31" t="n">
        <v>1082</v>
      </c>
      <c r="B1083" s="27" t="n">
        <v>21</v>
      </c>
      <c r="C1083" s="27" t="n">
        <v>26</v>
      </c>
      <c r="D1083" s="27" t="n">
        <v>27</v>
      </c>
      <c r="E1083" s="27" t="n">
        <v>32</v>
      </c>
      <c r="F1083" s="27" t="n">
        <v>34</v>
      </c>
      <c r="G1083" s="27" t="n">
        <v>42</v>
      </c>
      <c r="H1083" s="27" t="n">
        <v>31</v>
      </c>
      <c r="J1083" s="27">
        <f>SUMPRODUCT(COUNTIFS(확률!$J$2:$J$46, 원본!B1083:G1083, 확률!$M$2:$M$46, "&lt;=20"))</f>
        <v/>
      </c>
      <c r="K1083" s="27">
        <f>SUMPRODUCT(COUNTIFS(확률!$J$2:$J$46, 원본!B1083:G1083, 확률!$M$2:$M$46, "&gt;=36"))</f>
        <v/>
      </c>
      <c r="L1083" s="27">
        <f>6-J1083-K1083</f>
        <v/>
      </c>
    </row>
    <row r="1084" ht="16.4" customHeight="1" s="28">
      <c r="A1084" s="31" t="n">
        <v>1083</v>
      </c>
      <c r="B1084" s="27" t="n">
        <v>3</v>
      </c>
      <c r="C1084" s="27" t="n">
        <v>7</v>
      </c>
      <c r="D1084" s="27" t="n">
        <v>14</v>
      </c>
      <c r="E1084" s="27" t="n">
        <v>15</v>
      </c>
      <c r="F1084" s="27" t="n">
        <v>22</v>
      </c>
      <c r="G1084" s="27" t="n">
        <v>38</v>
      </c>
      <c r="H1084" s="27" t="n">
        <v>17</v>
      </c>
      <c r="J1084" s="27">
        <f>SUMPRODUCT(COUNTIFS(확률!$J$2:$J$46, 원본!B1084:G1084, 확률!$M$2:$M$46, "&lt;=20"))</f>
        <v/>
      </c>
      <c r="K1084" s="27">
        <f>SUMPRODUCT(COUNTIFS(확률!$J$2:$J$46, 원본!B1084:G1084, 확률!$M$2:$M$46, "&gt;=36"))</f>
        <v/>
      </c>
      <c r="L1084" s="27">
        <f>6-J1084-K1084</f>
        <v/>
      </c>
    </row>
    <row r="1085" ht="16.4" customHeight="1" s="28">
      <c r="A1085" s="31" t="n">
        <v>1084</v>
      </c>
      <c r="B1085" s="27" t="n">
        <v>8</v>
      </c>
      <c r="C1085" s="27" t="n">
        <v>12</v>
      </c>
      <c r="D1085" s="27" t="n">
        <v>13</v>
      </c>
      <c r="E1085" s="27" t="n">
        <v>29</v>
      </c>
      <c r="F1085" s="27" t="n">
        <v>33</v>
      </c>
      <c r="G1085" s="27" t="n">
        <v>42</v>
      </c>
      <c r="H1085" s="27" t="n">
        <v>5</v>
      </c>
      <c r="J1085" s="27">
        <f>SUMPRODUCT(COUNTIFS(확률!$J$2:$J$46, 원본!B1085:G1085, 확률!$M$2:$M$46, "&lt;=20"))</f>
        <v/>
      </c>
      <c r="K1085" s="27">
        <f>SUMPRODUCT(COUNTIFS(확률!$J$2:$J$46, 원본!B1085:G1085, 확률!$M$2:$M$46, "&gt;=36"))</f>
        <v/>
      </c>
      <c r="L1085" s="27">
        <f>6-J1085-K1085</f>
        <v/>
      </c>
    </row>
    <row r="1086" ht="16.4" customHeight="1" s="28">
      <c r="A1086" s="31" t="n">
        <v>1085</v>
      </c>
      <c r="B1086" s="27" t="n">
        <v>4</v>
      </c>
      <c r="C1086" s="27" t="n">
        <v>7</v>
      </c>
      <c r="D1086" s="27" t="n">
        <v>17</v>
      </c>
      <c r="E1086" s="27" t="n">
        <v>18</v>
      </c>
      <c r="F1086" s="27" t="n">
        <v>38</v>
      </c>
      <c r="G1086" s="27" t="n">
        <v>44</v>
      </c>
      <c r="H1086" s="27" t="n">
        <v>36</v>
      </c>
      <c r="J1086" s="27">
        <f>SUMPRODUCT(COUNTIFS(확률!$J$2:$J$46, 원본!B1086:G1086, 확률!$M$2:$M$46, "&lt;=20"))</f>
        <v/>
      </c>
      <c r="K1086" s="27">
        <f>SUMPRODUCT(COUNTIFS(확률!$J$2:$J$46, 원본!B1086:G1086, 확률!$M$2:$M$46, "&gt;=36"))</f>
        <v/>
      </c>
      <c r="L1086" s="27">
        <f>6-J1086-K1086</f>
        <v/>
      </c>
    </row>
    <row r="1087" ht="16.4" customHeight="1" s="28">
      <c r="A1087" s="31" t="n">
        <v>1086</v>
      </c>
      <c r="B1087" s="27" t="n">
        <v>11</v>
      </c>
      <c r="C1087" s="27" t="n">
        <v>16</v>
      </c>
      <c r="D1087" s="27" t="n">
        <v>25</v>
      </c>
      <c r="E1087" s="27" t="n">
        <v>27</v>
      </c>
      <c r="F1087" s="27" t="n">
        <v>35</v>
      </c>
      <c r="G1087" s="27" t="n">
        <v>36</v>
      </c>
      <c r="H1087" s="27" t="n">
        <v>37</v>
      </c>
      <c r="J1087" s="27">
        <f>SUMPRODUCT(COUNTIFS(확률!$J$2:$J$46, 원본!B1087:G1087, 확률!$M$2:$M$46, "&lt;=20"))</f>
        <v/>
      </c>
      <c r="K1087" s="27">
        <f>SUMPRODUCT(COUNTIFS(확률!$J$2:$J$46, 원본!B1087:G1087, 확률!$M$2:$M$46, "&gt;=36"))</f>
        <v/>
      </c>
      <c r="L1087" s="27">
        <f>6-J1087-K1087</f>
        <v/>
      </c>
    </row>
    <row r="1088" ht="16.4" customHeight="1" s="28">
      <c r="A1088" s="31" t="n">
        <v>1087</v>
      </c>
      <c r="B1088" s="27" t="n">
        <v>13</v>
      </c>
      <c r="C1088" s="27" t="n">
        <v>14</v>
      </c>
      <c r="D1088" s="27" t="n">
        <v>18</v>
      </c>
      <c r="E1088" s="27" t="n">
        <v>21</v>
      </c>
      <c r="F1088" s="27" t="n">
        <v>34</v>
      </c>
      <c r="G1088" s="27" t="n">
        <v>44</v>
      </c>
      <c r="H1088" s="27" t="n">
        <v>16</v>
      </c>
      <c r="J1088" s="27">
        <f>SUMPRODUCT(COUNTIFS(확률!$J$2:$J$46, 원본!B1088:G1088, 확률!$M$2:$M$46, "&lt;=20"))</f>
        <v/>
      </c>
      <c r="K1088" s="27">
        <f>SUMPRODUCT(COUNTIFS(확률!$J$2:$J$46, 원본!B1088:G1088, 확률!$M$2:$M$46, "&gt;=36"))</f>
        <v/>
      </c>
      <c r="L1088" s="27">
        <f>6-J1088-K1088</f>
        <v/>
      </c>
    </row>
    <row r="1089" ht="16.4" customHeight="1" s="28">
      <c r="A1089" s="31" t="n">
        <v>1088</v>
      </c>
      <c r="B1089" s="27" t="n">
        <v>11</v>
      </c>
      <c r="C1089" s="27" t="n">
        <v>21</v>
      </c>
      <c r="D1089" s="27" t="n">
        <v>22</v>
      </c>
      <c r="E1089" s="27" t="n">
        <v>30</v>
      </c>
      <c r="F1089" s="27" t="n">
        <v>39</v>
      </c>
      <c r="G1089" s="27" t="n">
        <v>44</v>
      </c>
      <c r="H1089" s="27" t="n">
        <v>31</v>
      </c>
      <c r="J1089" s="27">
        <f>SUMPRODUCT(COUNTIFS(확률!$J$2:$J$46, 원본!B1089:G1089, 확률!$M$2:$M$46, "&lt;=20"))</f>
        <v/>
      </c>
      <c r="K1089" s="27">
        <f>SUMPRODUCT(COUNTIFS(확률!$J$2:$J$46, 원본!B1089:G1089, 확률!$M$2:$M$46, "&gt;=36"))</f>
        <v/>
      </c>
      <c r="L1089" s="27">
        <f>6-J1089-K1089</f>
        <v/>
      </c>
    </row>
    <row r="1090" ht="16.4" customHeight="1" s="28">
      <c r="A1090" s="31" t="n">
        <v>1089</v>
      </c>
      <c r="B1090" s="27" t="n">
        <v>4</v>
      </c>
      <c r="C1090" s="27" t="n">
        <v>18</v>
      </c>
      <c r="D1090" s="27" t="n">
        <v>31</v>
      </c>
      <c r="E1090" s="27" t="n">
        <v>37</v>
      </c>
      <c r="F1090" s="27" t="n">
        <v>42</v>
      </c>
      <c r="G1090" s="27" t="n">
        <v>43</v>
      </c>
      <c r="H1090" s="27" t="n">
        <v>40</v>
      </c>
      <c r="J1090" s="27">
        <f>SUMPRODUCT(COUNTIFS(확률!$J$2:$J$46, 원본!B1090:G1090, 확률!$M$2:$M$46, "&lt;=20"))</f>
        <v/>
      </c>
      <c r="K1090" s="27">
        <f>SUMPRODUCT(COUNTIFS(확률!$J$2:$J$46, 원본!B1090:G1090, 확률!$M$2:$M$46, "&gt;=36"))</f>
        <v/>
      </c>
      <c r="L1090" s="27">
        <f>6-J1090-K1090</f>
        <v/>
      </c>
    </row>
    <row r="1091" ht="16.4" customHeight="1" s="28">
      <c r="A1091" s="31" t="n">
        <v>1090</v>
      </c>
      <c r="B1091" s="27" t="n">
        <v>12</v>
      </c>
      <c r="C1091" s="27" t="n">
        <v>19</v>
      </c>
      <c r="D1091" s="27" t="n">
        <v>21</v>
      </c>
      <c r="E1091" s="27" t="n">
        <v>29</v>
      </c>
      <c r="F1091" s="27" t="n">
        <v>40</v>
      </c>
      <c r="G1091" s="27" t="n">
        <v>45</v>
      </c>
      <c r="H1091" s="27" t="n">
        <v>1</v>
      </c>
      <c r="J1091" s="27">
        <f>SUMPRODUCT(COUNTIFS(확률!$J$2:$J$46, 원본!B1091:G1091, 확률!$M$2:$M$46, "&lt;=20"))</f>
        <v/>
      </c>
      <c r="K1091" s="27">
        <f>SUMPRODUCT(COUNTIFS(확률!$J$2:$J$46, 원본!B1091:G1091, 확률!$M$2:$M$46, "&gt;=36"))</f>
        <v/>
      </c>
      <c r="L1091" s="27">
        <f>6-J1091-K1091</f>
        <v/>
      </c>
    </row>
    <row r="1092" ht="16.4" customHeight="1" s="28">
      <c r="A1092" s="31" t="n">
        <v>1091</v>
      </c>
      <c r="B1092" s="27" t="n">
        <v>6</v>
      </c>
      <c r="C1092" s="27" t="n">
        <v>20</v>
      </c>
      <c r="D1092" s="27" t="n">
        <v>23</v>
      </c>
      <c r="E1092" s="27" t="n">
        <v>24</v>
      </c>
      <c r="F1092" s="27" t="n">
        <v>28</v>
      </c>
      <c r="G1092" s="27" t="n">
        <v>30</v>
      </c>
      <c r="H1092" s="27" t="n">
        <v>44</v>
      </c>
      <c r="J1092" s="27">
        <f>SUMPRODUCT(COUNTIFS(확률!$J$2:$J$46, 원본!B1092:G1092, 확률!$M$2:$M$46, "&lt;=20"))</f>
        <v/>
      </c>
      <c r="K1092" s="27">
        <f>SUMPRODUCT(COUNTIFS(확률!$J$2:$J$46, 원본!B1092:G1092, 확률!$M$2:$M$46, "&gt;=36"))</f>
        <v/>
      </c>
      <c r="L1092" s="27">
        <f>6-J1092-K1092</f>
        <v/>
      </c>
    </row>
    <row r="1093" ht="16.4" customHeight="1" s="28">
      <c r="A1093" s="31" t="n">
        <v>1092</v>
      </c>
      <c r="B1093" s="27" t="n">
        <v>7</v>
      </c>
      <c r="C1093" s="27" t="n">
        <v>18</v>
      </c>
      <c r="D1093" s="27" t="n">
        <v>19</v>
      </c>
      <c r="E1093" s="27" t="n">
        <v>26</v>
      </c>
      <c r="F1093" s="27" t="n">
        <v>33</v>
      </c>
      <c r="G1093" s="27" t="n">
        <v>45</v>
      </c>
      <c r="H1093" s="27" t="n">
        <v>37</v>
      </c>
      <c r="J1093" s="27">
        <f>SUMPRODUCT(COUNTIFS(확률!$J$2:$J$46, 원본!B1093:G1093, 확률!$M$2:$M$46, "&lt;=20"))</f>
        <v/>
      </c>
      <c r="K1093" s="27">
        <f>SUMPRODUCT(COUNTIFS(확률!$J$2:$J$46, 원본!B1093:G1093, 확률!$M$2:$M$46, "&gt;=36"))</f>
        <v/>
      </c>
      <c r="L1093" s="27">
        <f>6-J1093-K1093</f>
        <v/>
      </c>
    </row>
    <row r="1094" ht="16.4" customHeight="1" s="28">
      <c r="A1094" s="31" t="n">
        <v>1093</v>
      </c>
      <c r="B1094" s="27" t="n">
        <v>10</v>
      </c>
      <c r="C1094" s="27" t="n">
        <v>17</v>
      </c>
      <c r="D1094" s="27" t="n">
        <v>22</v>
      </c>
      <c r="E1094" s="27" t="n">
        <v>30</v>
      </c>
      <c r="F1094" s="27" t="n">
        <v>35</v>
      </c>
      <c r="G1094" s="27" t="n">
        <v>43</v>
      </c>
      <c r="H1094" s="27" t="n">
        <v>44</v>
      </c>
      <c r="J1094" s="27">
        <f>SUMPRODUCT(COUNTIFS(확률!$J$2:$J$46, 원본!B1094:G1094, 확률!$M$2:$M$46, "&lt;=20"))</f>
        <v/>
      </c>
      <c r="K1094" s="27">
        <f>SUMPRODUCT(COUNTIFS(확률!$J$2:$J$46, 원본!B1094:G1094, 확률!$M$2:$M$46, "&gt;=36"))</f>
        <v/>
      </c>
      <c r="L1094" s="27">
        <f>6-J1094-K1094</f>
        <v/>
      </c>
    </row>
    <row r="1095" ht="16.4" customHeight="1" s="28">
      <c r="A1095" s="31" t="n">
        <v>1094</v>
      </c>
      <c r="B1095" s="27" t="n">
        <v>6</v>
      </c>
      <c r="C1095" s="27" t="n">
        <v>7</v>
      </c>
      <c r="D1095" s="27" t="n">
        <v>15</v>
      </c>
      <c r="E1095" s="27" t="n">
        <v>22</v>
      </c>
      <c r="F1095" s="27" t="n">
        <v>26</v>
      </c>
      <c r="G1095" s="27" t="n">
        <v>40</v>
      </c>
      <c r="H1095" s="27" t="n">
        <v>41</v>
      </c>
      <c r="J1095" s="27">
        <f>SUMPRODUCT(COUNTIFS(확률!$J$2:$J$46, 원본!B1095:G1095, 확률!$M$2:$M$46, "&lt;=20"))</f>
        <v/>
      </c>
      <c r="K1095" s="27">
        <f>SUMPRODUCT(COUNTIFS(확률!$J$2:$J$46, 원본!B1095:G1095, 확률!$M$2:$M$46, "&gt;=36"))</f>
        <v/>
      </c>
      <c r="L1095" s="27">
        <f>6-J1095-K1095</f>
        <v/>
      </c>
    </row>
    <row r="1096" ht="16.4" customHeight="1" s="28">
      <c r="A1096" s="31" t="n">
        <v>1095</v>
      </c>
      <c r="B1096" s="27" t="n">
        <v>8</v>
      </c>
      <c r="C1096" s="27" t="n">
        <v>14</v>
      </c>
      <c r="D1096" s="27" t="n">
        <v>28</v>
      </c>
      <c r="E1096" s="27" t="n">
        <v>29</v>
      </c>
      <c r="F1096" s="27" t="n">
        <v>34</v>
      </c>
      <c r="G1096" s="27" t="n">
        <v>40</v>
      </c>
      <c r="H1096" s="27" t="n">
        <v>12</v>
      </c>
      <c r="J1096" s="27">
        <f>SUMPRODUCT(COUNTIFS(확률!$J$2:$J$46, 원본!B1096:G1096, 확률!$M$2:$M$46, "&lt;=20"))</f>
        <v/>
      </c>
      <c r="K1096" s="27">
        <f>SUMPRODUCT(COUNTIFS(확률!$J$2:$J$46, 원본!B1096:G1096, 확률!$M$2:$M$46, "&gt;=36"))</f>
        <v/>
      </c>
      <c r="L1096" s="27">
        <f>6-J1096-K1096</f>
        <v/>
      </c>
    </row>
    <row r="1097" ht="16.4" customHeight="1" s="28">
      <c r="A1097" s="31" t="n">
        <v>1096</v>
      </c>
      <c r="B1097" s="27" t="n">
        <v>1</v>
      </c>
      <c r="C1097" s="27" t="n">
        <v>12</v>
      </c>
      <c r="D1097" s="27" t="n">
        <v>16</v>
      </c>
      <c r="E1097" s="27" t="n">
        <v>19</v>
      </c>
      <c r="F1097" s="27" t="n">
        <v>23</v>
      </c>
      <c r="G1097" s="27" t="n">
        <v>43</v>
      </c>
      <c r="H1097" s="27" t="n">
        <v>34</v>
      </c>
      <c r="J1097" s="27">
        <f>SUMPRODUCT(COUNTIFS(확률!$J$2:$J$46, 원본!B1097:G1097, 확률!$M$2:$M$46, "&lt;=20"))</f>
        <v/>
      </c>
      <c r="K1097" s="27">
        <f>SUMPRODUCT(COUNTIFS(확률!$J$2:$J$46, 원본!B1097:G1097, 확률!$M$2:$M$46, "&gt;=36"))</f>
        <v/>
      </c>
      <c r="L1097" s="27">
        <f>6-J1097-K1097</f>
        <v/>
      </c>
    </row>
    <row r="1098" ht="16.4" customHeight="1" s="28">
      <c r="A1098" s="31" t="n">
        <v>1097</v>
      </c>
      <c r="B1098" s="27" t="n">
        <v>14</v>
      </c>
      <c r="C1098" s="27" t="n">
        <v>33</v>
      </c>
      <c r="D1098" s="27" t="n">
        <v>34</v>
      </c>
      <c r="E1098" s="27" t="n">
        <v>35</v>
      </c>
      <c r="F1098" s="27" t="n">
        <v>37</v>
      </c>
      <c r="G1098" s="27" t="n">
        <v>40</v>
      </c>
      <c r="H1098" s="27" t="n">
        <v>4</v>
      </c>
      <c r="J1098" s="27">
        <f>SUMPRODUCT(COUNTIFS(확률!$J$2:$J$46, 원본!B1098:G1098, 확률!$M$2:$M$46, "&lt;=20"))</f>
        <v/>
      </c>
      <c r="K1098" s="27">
        <f>SUMPRODUCT(COUNTIFS(확률!$J$2:$J$46, 원본!B1098:G1098, 확률!$M$2:$M$46, "&gt;=36"))</f>
        <v/>
      </c>
      <c r="L1098" s="27">
        <f>6-J1098-K1098</f>
        <v/>
      </c>
    </row>
    <row r="1099" ht="16.4" customHeight="1" s="28">
      <c r="A1099" s="31" t="n">
        <v>1098</v>
      </c>
      <c r="B1099" s="27" t="n">
        <v>12</v>
      </c>
      <c r="C1099" s="27" t="n">
        <v>16</v>
      </c>
      <c r="D1099" s="27" t="n">
        <v>21</v>
      </c>
      <c r="E1099" s="27" t="n">
        <v>24</v>
      </c>
      <c r="F1099" s="27" t="n">
        <v>41</v>
      </c>
      <c r="G1099" s="27" t="n">
        <v>43</v>
      </c>
      <c r="H1099" s="27" t="n">
        <v>15</v>
      </c>
      <c r="J1099" s="27">
        <f>SUMPRODUCT(COUNTIFS(확률!$J$2:$J$46, 원본!B1099:G1099, 확률!$M$2:$M$46, "&lt;=20"))</f>
        <v/>
      </c>
      <c r="K1099" s="27">
        <f>SUMPRODUCT(COUNTIFS(확률!$J$2:$J$46, 원본!B1099:G1099, 확률!$M$2:$M$46, "&gt;=36"))</f>
        <v/>
      </c>
      <c r="L1099" s="27">
        <f>6-J1099-K1099</f>
        <v/>
      </c>
    </row>
    <row r="1100" ht="16.4" customHeight="1" s="28">
      <c r="A1100" s="31" t="n">
        <v>1099</v>
      </c>
      <c r="B1100" s="27" t="n">
        <v>3</v>
      </c>
      <c r="C1100" s="27" t="n">
        <v>20</v>
      </c>
      <c r="D1100" s="27" t="n">
        <v>28</v>
      </c>
      <c r="E1100" s="27" t="n">
        <v>38</v>
      </c>
      <c r="F1100" s="27" t="n">
        <v>40</v>
      </c>
      <c r="G1100" s="27" t="n">
        <v>43</v>
      </c>
      <c r="H1100" s="27" t="n">
        <v>4</v>
      </c>
      <c r="J1100" s="27">
        <f>SUMPRODUCT(COUNTIFS(확률!$J$2:$J$46, 원본!B1100:G1100, 확률!$M$2:$M$46, "&lt;=20"))</f>
        <v/>
      </c>
      <c r="K1100" s="27">
        <f>SUMPRODUCT(COUNTIFS(확률!$J$2:$J$46, 원본!B1100:G1100, 확률!$M$2:$M$46, "&gt;=36"))</f>
        <v/>
      </c>
      <c r="L1100" s="27">
        <f>6-J1100-K1100</f>
        <v/>
      </c>
    </row>
    <row r="1101" ht="16.4" customHeight="1" s="28">
      <c r="A1101" s="31" t="n">
        <v>1100</v>
      </c>
      <c r="B1101" s="27" t="n">
        <v>17</v>
      </c>
      <c r="C1101" s="27" t="n">
        <v>26</v>
      </c>
      <c r="D1101" s="27" t="n">
        <v>29</v>
      </c>
      <c r="E1101" s="27" t="n">
        <v>30</v>
      </c>
      <c r="F1101" s="27" t="n">
        <v>31</v>
      </c>
      <c r="G1101" s="27" t="n">
        <v>43</v>
      </c>
      <c r="H1101" s="27" t="n">
        <v>12</v>
      </c>
      <c r="J1101" s="27">
        <f>SUMPRODUCT(COUNTIFS(확률!$J$2:$J$46, 원본!B1101:G1101, 확률!$M$2:$M$46, "&lt;=20"))</f>
        <v/>
      </c>
      <c r="K1101" s="27">
        <f>SUMPRODUCT(COUNTIFS(확률!$J$2:$J$46, 원본!B1101:G1101, 확률!$M$2:$M$46, "&gt;=36"))</f>
        <v/>
      </c>
      <c r="L1101" s="27">
        <f>6-J1101-K1101</f>
        <v/>
      </c>
    </row>
    <row r="1102" ht="16.4" customHeight="1" s="28">
      <c r="A1102" s="31" t="n">
        <v>1101</v>
      </c>
      <c r="B1102" s="27" t="n">
        <v>6</v>
      </c>
      <c r="C1102" s="27" t="n">
        <v>7</v>
      </c>
      <c r="D1102" s="27" t="n">
        <v>13</v>
      </c>
      <c r="E1102" s="27" t="n">
        <v>28</v>
      </c>
      <c r="F1102" s="27" t="n">
        <v>36</v>
      </c>
      <c r="G1102" s="27" t="n">
        <v>42</v>
      </c>
      <c r="H1102" s="27" t="n">
        <v>41</v>
      </c>
      <c r="J1102" s="27">
        <f>SUMPRODUCT(COUNTIFS(확률!$J$2:$J$46, 원본!B1102:G1102, 확률!$M$2:$M$46, "&lt;=20"))</f>
        <v/>
      </c>
      <c r="K1102" s="27">
        <f>SUMPRODUCT(COUNTIFS(확률!$J$2:$J$46, 원본!B1102:G1102, 확률!$M$2:$M$46, "&gt;=36"))</f>
        <v/>
      </c>
      <c r="L1102" s="27">
        <f>6-J1102-K1102</f>
        <v/>
      </c>
    </row>
    <row r="1103" ht="16.4" customHeight="1" s="28">
      <c r="A1103" s="31" t="n">
        <v>1102</v>
      </c>
      <c r="B1103" s="27" t="n">
        <v>13</v>
      </c>
      <c r="C1103" s="27" t="n">
        <v>14</v>
      </c>
      <c r="D1103" s="27" t="n">
        <v>22</v>
      </c>
      <c r="E1103" s="27" t="n">
        <v>26</v>
      </c>
      <c r="F1103" s="27" t="n">
        <v>37</v>
      </c>
      <c r="G1103" s="27" t="n">
        <v>38</v>
      </c>
      <c r="H1103" s="27" t="n">
        <v>20</v>
      </c>
      <c r="J1103" s="27">
        <f>SUMPRODUCT(COUNTIFS(확률!$J$2:$J$46, 원본!B1103:G1103, 확률!$M$2:$M$46, "&lt;=20"))</f>
        <v/>
      </c>
      <c r="K1103" s="27">
        <f>SUMPRODUCT(COUNTIFS(확률!$J$2:$J$46, 원본!B1103:G1103, 확률!$M$2:$M$46, "&gt;=36"))</f>
        <v/>
      </c>
      <c r="L1103" s="27">
        <f>6-J1103-K1103</f>
        <v/>
      </c>
    </row>
    <row r="1104" ht="16.4" customHeight="1" s="28">
      <c r="A1104" s="31" t="n">
        <v>1103</v>
      </c>
      <c r="B1104" s="27" t="n">
        <v>10</v>
      </c>
      <c r="C1104" s="27" t="n">
        <v>12</v>
      </c>
      <c r="D1104" s="27" t="n">
        <v>29</v>
      </c>
      <c r="E1104" s="27" t="n">
        <v>31</v>
      </c>
      <c r="F1104" s="27" t="n">
        <v>40</v>
      </c>
      <c r="G1104" s="27" t="n">
        <v>44</v>
      </c>
      <c r="H1104" s="27" t="n">
        <v>2</v>
      </c>
      <c r="J1104" s="27">
        <f>SUMPRODUCT(COUNTIFS(확률!$J$2:$J$46, 원본!B1104:G1104, 확률!$M$2:$M$46, "&lt;=20"))</f>
        <v/>
      </c>
      <c r="K1104" s="27">
        <f>SUMPRODUCT(COUNTIFS(확률!$J$2:$J$46, 원본!B1104:G1104, 확률!$M$2:$M$46, "&gt;=36"))</f>
        <v/>
      </c>
      <c r="L1104" s="27">
        <f>6-J1104-K1104</f>
        <v/>
      </c>
    </row>
    <row r="1105" ht="16.4" customHeight="1" s="28">
      <c r="A1105" s="31" t="n">
        <v>1104</v>
      </c>
      <c r="B1105" s="27" t="n">
        <v>1</v>
      </c>
      <c r="C1105" s="27" t="n">
        <v>7</v>
      </c>
      <c r="D1105" s="27" t="n">
        <v>21</v>
      </c>
      <c r="E1105" s="27" t="n">
        <v>30</v>
      </c>
      <c r="F1105" s="27" t="n">
        <v>35</v>
      </c>
      <c r="G1105" s="27" t="n">
        <v>38</v>
      </c>
      <c r="H1105" s="27" t="n">
        <v>2</v>
      </c>
      <c r="J1105" s="27">
        <f>SUMPRODUCT(COUNTIFS(확률!$J$2:$J$46, 원본!B1105:G1105, 확률!$M$2:$M$46, "&lt;=20"))</f>
        <v/>
      </c>
      <c r="K1105" s="27">
        <f>SUMPRODUCT(COUNTIFS(확률!$J$2:$J$46, 원본!B1105:G1105, 확률!$M$2:$M$46, "&gt;=36"))</f>
        <v/>
      </c>
      <c r="L1105" s="27">
        <f>6-J1105-K1105</f>
        <v/>
      </c>
    </row>
    <row r="1106" ht="16.4" customHeight="1" s="28">
      <c r="A1106" s="31" t="n">
        <v>1105</v>
      </c>
      <c r="B1106" s="27" t="n">
        <v>6</v>
      </c>
      <c r="C1106" s="27" t="n">
        <v>16</v>
      </c>
      <c r="D1106" s="27" t="n">
        <v>34</v>
      </c>
      <c r="E1106" s="27" t="n">
        <v>37</v>
      </c>
      <c r="F1106" s="27" t="n">
        <v>39</v>
      </c>
      <c r="G1106" s="27" t="n">
        <v>40</v>
      </c>
      <c r="H1106" s="27" t="n">
        <v>11</v>
      </c>
      <c r="J1106" s="27">
        <f>SUMPRODUCT(COUNTIFS(확률!$J$2:$J$46, 원본!B1106:G1106, 확률!$M$2:$M$46, "&lt;=20"))</f>
        <v/>
      </c>
      <c r="K1106" s="27">
        <f>SUMPRODUCT(COUNTIFS(확률!$J$2:$J$46, 원본!B1106:G1106, 확률!$M$2:$M$46, "&gt;=36"))</f>
        <v/>
      </c>
      <c r="L1106" s="27">
        <f>6-J1106-K1106</f>
        <v/>
      </c>
    </row>
    <row r="1107" ht="16.4" customHeight="1" s="28">
      <c r="A1107" s="31" t="n">
        <v>1106</v>
      </c>
      <c r="B1107" s="27" t="n">
        <v>1</v>
      </c>
      <c r="C1107" s="27" t="n">
        <v>3</v>
      </c>
      <c r="D1107" s="27" t="n">
        <v>4</v>
      </c>
      <c r="E1107" s="27" t="n">
        <v>29</v>
      </c>
      <c r="F1107" s="27" t="n">
        <v>42</v>
      </c>
      <c r="G1107" s="27" t="n">
        <v>45</v>
      </c>
      <c r="H1107" s="27" t="n">
        <v>36</v>
      </c>
      <c r="J1107" s="27">
        <f>SUMPRODUCT(COUNTIFS(확률!$J$2:$J$46, 원본!B1107:G1107, 확률!$M$2:$M$46, "&lt;=20"))</f>
        <v/>
      </c>
      <c r="K1107" s="27">
        <f>SUMPRODUCT(COUNTIFS(확률!$J$2:$J$46, 원본!B1107:G1107, 확률!$M$2:$M$46, "&gt;=36"))</f>
        <v/>
      </c>
      <c r="L1107" s="27">
        <f>6-J1107-K1107</f>
        <v/>
      </c>
    </row>
    <row r="1108" ht="16.4" customHeight="1" s="28">
      <c r="A1108" s="31" t="n">
        <v>1107</v>
      </c>
      <c r="B1108" s="27" t="n">
        <v>6</v>
      </c>
      <c r="C1108" s="27" t="n">
        <v>14</v>
      </c>
      <c r="D1108" s="27" t="n">
        <v>30</v>
      </c>
      <c r="E1108" s="27" t="n">
        <v>31</v>
      </c>
      <c r="F1108" s="27" t="n">
        <v>40</v>
      </c>
      <c r="G1108" s="27" t="n">
        <v>41</v>
      </c>
      <c r="H1108" s="27" t="n">
        <v>29</v>
      </c>
      <c r="J1108" s="27">
        <f>SUMPRODUCT(COUNTIFS(확률!$J$2:$J$46, 원본!B1108:G1108, 확률!$M$2:$M$46, "&lt;=20"))</f>
        <v/>
      </c>
      <c r="K1108" s="27">
        <f>SUMPRODUCT(COUNTIFS(확률!$J$2:$J$46, 원본!B1108:G1108, 확률!$M$2:$M$46, "&gt;=36"))</f>
        <v/>
      </c>
      <c r="L1108" s="27">
        <f>6-J1108-K1108</f>
        <v/>
      </c>
    </row>
    <row r="1109" ht="16.4" customHeight="1" s="28">
      <c r="A1109" s="31" t="n">
        <v>1108</v>
      </c>
      <c r="B1109" s="27" t="n">
        <v>7</v>
      </c>
      <c r="C1109" s="27" t="n">
        <v>19</v>
      </c>
      <c r="D1109" s="27" t="n">
        <v>26</v>
      </c>
      <c r="E1109" s="27" t="n">
        <v>37</v>
      </c>
      <c r="F1109" s="27" t="n">
        <v>39</v>
      </c>
      <c r="G1109" s="27" t="n">
        <v>44</v>
      </c>
      <c r="H1109" s="27" t="n">
        <v>27</v>
      </c>
      <c r="J1109" s="27">
        <f>SUMPRODUCT(COUNTIFS(확률!$J$2:$J$46, 원본!B1109:G1109, 확률!$M$2:$M$46, "&lt;=20"))</f>
        <v/>
      </c>
      <c r="K1109" s="27">
        <f>SUMPRODUCT(COUNTIFS(확률!$J$2:$J$46, 원본!B1109:G1109, 확률!$M$2:$M$46, "&gt;=36"))</f>
        <v/>
      </c>
      <c r="L1109" s="27">
        <f>6-J1109-K1109</f>
        <v/>
      </c>
    </row>
    <row r="1110" ht="16.4" customHeight="1" s="28">
      <c r="A1110" s="31" t="n">
        <v>1109</v>
      </c>
      <c r="B1110" s="27" t="n">
        <v>10</v>
      </c>
      <c r="C1110" s="27" t="n">
        <v>12</v>
      </c>
      <c r="D1110" s="27" t="n">
        <v>13</v>
      </c>
      <c r="E1110" s="27" t="n">
        <v>19</v>
      </c>
      <c r="F1110" s="27" t="n">
        <v>33</v>
      </c>
      <c r="G1110" s="27" t="n">
        <v>40</v>
      </c>
      <c r="H1110" s="27" t="n">
        <v>2</v>
      </c>
      <c r="J1110" s="27">
        <f>SUMPRODUCT(COUNTIFS(확률!$J$2:$J$46, 원본!B1110:G1110, 확률!$M$2:$M$46, "&lt;=20"))</f>
        <v/>
      </c>
      <c r="K1110" s="27">
        <f>SUMPRODUCT(COUNTIFS(확률!$J$2:$J$46, 원본!B1110:G1110, 확률!$M$2:$M$46, "&gt;=36"))</f>
        <v/>
      </c>
      <c r="L1110" s="27">
        <f>6-J1110-K1110</f>
        <v/>
      </c>
    </row>
    <row r="1111" ht="16.4" customHeight="1" s="28">
      <c r="A1111" s="31" t="n">
        <v>1110</v>
      </c>
      <c r="B1111" s="27" t="n">
        <v>3</v>
      </c>
      <c r="C1111" s="27" t="n">
        <v>7</v>
      </c>
      <c r="D1111" s="27" t="n">
        <v>11</v>
      </c>
      <c r="E1111" s="27" t="n">
        <v>20</v>
      </c>
      <c r="F1111" s="27" t="n">
        <v>22</v>
      </c>
      <c r="G1111" s="27" t="n">
        <v>41</v>
      </c>
      <c r="H1111" s="27" t="n">
        <v>24</v>
      </c>
      <c r="J1111" s="27">
        <f>SUMPRODUCT(COUNTIFS(확률!$J$2:$J$46, 원본!B1111:G1111, 확률!$M$2:$M$46, "&lt;=20"))</f>
        <v/>
      </c>
      <c r="K1111" s="27">
        <f>SUMPRODUCT(COUNTIFS(확률!$J$2:$J$46, 원본!B1111:G1111, 확률!$M$2:$M$46, "&gt;=36"))</f>
        <v/>
      </c>
      <c r="L1111" s="27">
        <f>6-J1111-K1111</f>
        <v/>
      </c>
    </row>
    <row r="1112" ht="16.4" customHeight="1" s="28">
      <c r="A1112" s="31" t="n">
        <v>1111</v>
      </c>
      <c r="B1112" s="27" t="n">
        <v>3</v>
      </c>
      <c r="C1112" s="27" t="n">
        <v>13</v>
      </c>
      <c r="D1112" s="27" t="n">
        <v>30</v>
      </c>
      <c r="E1112" s="27" t="n">
        <v>33</v>
      </c>
      <c r="F1112" s="27" t="n">
        <v>43</v>
      </c>
      <c r="G1112" s="27" t="n">
        <v>45</v>
      </c>
      <c r="H1112" s="27" t="n">
        <v>4</v>
      </c>
      <c r="J1112" s="27">
        <f>SUMPRODUCT(COUNTIFS(확률!$J$2:$J$46, 원본!B1112:G1112, 확률!$M$2:$M$46, "&lt;=20"))</f>
        <v/>
      </c>
      <c r="K1112" s="27">
        <f>SUMPRODUCT(COUNTIFS(확률!$J$2:$J$46, 원본!B1112:G1112, 확률!$M$2:$M$46, "&gt;=36"))</f>
        <v/>
      </c>
      <c r="L1112" s="27">
        <f>6-J1112-K1112</f>
        <v/>
      </c>
    </row>
    <row r="1113" ht="16.4" customHeight="1" s="28">
      <c r="A1113" s="31" t="n">
        <v>1112</v>
      </c>
      <c r="B1113" s="27" t="n">
        <v>16</v>
      </c>
      <c r="C1113" s="27" t="n">
        <v>20</v>
      </c>
      <c r="D1113" s="27" t="n">
        <v>26</v>
      </c>
      <c r="E1113" s="27" t="n">
        <v>36</v>
      </c>
      <c r="F1113" s="27" t="n">
        <v>42</v>
      </c>
      <c r="G1113" s="27" t="n">
        <v>44</v>
      </c>
      <c r="H1113" s="27" t="n">
        <v>24</v>
      </c>
      <c r="J1113" s="27">
        <f>SUMPRODUCT(COUNTIFS(확률!$J$2:$J$46, 원본!B1113:G1113, 확률!$M$2:$M$46, "&lt;=20"))</f>
        <v/>
      </c>
      <c r="K1113" s="27">
        <f>SUMPRODUCT(COUNTIFS(확률!$J$2:$J$46, 원본!B1113:G1113, 확률!$M$2:$M$46, "&gt;=36"))</f>
        <v/>
      </c>
      <c r="L1113" s="27">
        <f>6-J1113-K1113</f>
        <v/>
      </c>
    </row>
    <row r="1114" ht="16.4" customHeight="1" s="28">
      <c r="A1114" s="31" t="n">
        <v>1113</v>
      </c>
      <c r="B1114" s="27" t="n">
        <v>11</v>
      </c>
      <c r="C1114" s="27" t="n">
        <v>13</v>
      </c>
      <c r="D1114" s="27" t="n">
        <v>20</v>
      </c>
      <c r="E1114" s="27" t="n">
        <v>21</v>
      </c>
      <c r="F1114" s="27" t="n">
        <v>32</v>
      </c>
      <c r="G1114" s="27" t="n">
        <v>44</v>
      </c>
      <c r="H1114" s="27" t="n">
        <v>8</v>
      </c>
      <c r="J1114" s="27">
        <f>SUMPRODUCT(COUNTIFS(확률!$J$2:$J$46, 원본!B1114:G1114, 확률!$M$2:$M$46, "&lt;=20"))</f>
        <v/>
      </c>
      <c r="K1114" s="27">
        <f>SUMPRODUCT(COUNTIFS(확률!$J$2:$J$46, 원본!B1114:G1114, 확률!$M$2:$M$46, "&gt;=36"))</f>
        <v/>
      </c>
      <c r="L1114" s="27">
        <f>6-J1114-K1114</f>
        <v/>
      </c>
    </row>
    <row r="1115" ht="16.4" customHeight="1" s="28">
      <c r="A1115" s="31" t="n">
        <v>1114</v>
      </c>
      <c r="B1115" s="27" t="n">
        <v>10</v>
      </c>
      <c r="C1115" s="27" t="n">
        <v>16</v>
      </c>
      <c r="D1115" s="27" t="n">
        <v>19</v>
      </c>
      <c r="E1115" s="27" t="n">
        <v>32</v>
      </c>
      <c r="F1115" s="27" t="n">
        <v>33</v>
      </c>
      <c r="G1115" s="27" t="n">
        <v>38</v>
      </c>
      <c r="H1115" s="27" t="n">
        <v>3</v>
      </c>
      <c r="J1115" s="27">
        <f>SUMPRODUCT(COUNTIFS(확률!$J$2:$J$46, 원본!B1115:G1115, 확률!$M$2:$M$46, "&lt;=20"))</f>
        <v/>
      </c>
      <c r="K1115" s="27">
        <f>SUMPRODUCT(COUNTIFS(확률!$J$2:$J$46, 원본!B1115:G1115, 확률!$M$2:$M$46, "&gt;=36"))</f>
        <v/>
      </c>
      <c r="L1115" s="27">
        <f>6-J1115-K1115</f>
        <v/>
      </c>
    </row>
    <row r="1116" ht="16.4" customHeight="1" s="28">
      <c r="A1116" s="31" t="n">
        <v>1115</v>
      </c>
      <c r="B1116" s="27" t="n">
        <v>7</v>
      </c>
      <c r="C1116" s="27" t="n">
        <v>12</v>
      </c>
      <c r="D1116" s="27" t="n">
        <v>23</v>
      </c>
      <c r="E1116" s="27" t="n">
        <v>32</v>
      </c>
      <c r="F1116" s="27" t="n">
        <v>34</v>
      </c>
      <c r="G1116" s="27" t="n">
        <v>36</v>
      </c>
      <c r="H1116" s="27" t="n">
        <v>8</v>
      </c>
      <c r="J1116" s="27">
        <f>SUMPRODUCT(COUNTIFS(확률!$J$2:$J$46, 원본!B1116:G1116, 확률!$M$2:$M$46, "&lt;=20"))</f>
        <v/>
      </c>
      <c r="K1116" s="27">
        <f>SUMPRODUCT(COUNTIFS(확률!$J$2:$J$46, 원본!B1116:G1116, 확률!$M$2:$M$46, "&gt;=36"))</f>
        <v/>
      </c>
      <c r="L1116" s="27">
        <f>6-J1116-K1116</f>
        <v/>
      </c>
    </row>
    <row r="1117" ht="16.4" customHeight="1" s="28">
      <c r="A1117" s="31" t="n">
        <v>1116</v>
      </c>
      <c r="B1117" s="27" t="n">
        <v>15</v>
      </c>
      <c r="C1117" s="27" t="n">
        <v>16</v>
      </c>
      <c r="D1117" s="27" t="n">
        <v>17</v>
      </c>
      <c r="E1117" s="27" t="n">
        <v>25</v>
      </c>
      <c r="F1117" s="27" t="n">
        <v>30</v>
      </c>
      <c r="G1117" s="27" t="n">
        <v>31</v>
      </c>
      <c r="H1117" s="27" t="n">
        <v>32</v>
      </c>
      <c r="J1117" s="27">
        <f>SUMPRODUCT(COUNTIFS(확률!$J$2:$J$46, 원본!B1117:G1117, 확률!$M$2:$M$46, "&lt;=20"))</f>
        <v/>
      </c>
      <c r="K1117" s="27">
        <f>SUMPRODUCT(COUNTIFS(확률!$J$2:$J$46, 원본!B1117:G1117, 확률!$M$2:$M$46, "&gt;=36"))</f>
        <v/>
      </c>
      <c r="L1117" s="27">
        <f>6-J1117-K1117</f>
        <v/>
      </c>
    </row>
    <row r="1118" ht="16.4" customHeight="1" s="28">
      <c r="A1118" s="31" t="n">
        <v>1117</v>
      </c>
      <c r="B1118" s="27" t="n">
        <v>3</v>
      </c>
      <c r="C1118" s="27" t="n">
        <v>4</v>
      </c>
      <c r="D1118" s="27" t="n">
        <v>9</v>
      </c>
      <c r="E1118" s="27" t="n">
        <v>30</v>
      </c>
      <c r="F1118" s="27" t="n">
        <v>33</v>
      </c>
      <c r="G1118" s="27" t="n">
        <v>36</v>
      </c>
      <c r="H1118" s="27" t="n">
        <v>7</v>
      </c>
      <c r="J1118" s="27">
        <f>SUMPRODUCT(COUNTIFS(확률!$J$2:$J$46, 원본!B1118:G1118, 확률!$M$2:$M$46, "&lt;=20"))</f>
        <v/>
      </c>
      <c r="K1118" s="27">
        <f>SUMPRODUCT(COUNTIFS(확률!$J$2:$J$46, 원본!B1118:G1118, 확률!$M$2:$M$46, "&gt;=36"))</f>
        <v/>
      </c>
      <c r="L1118" s="27">
        <f>6-J1118-K1118</f>
        <v/>
      </c>
    </row>
    <row r="1119" ht="16.4" customHeight="1" s="28">
      <c r="A1119" s="31" t="n">
        <v>1118</v>
      </c>
      <c r="B1119" s="27" t="n">
        <v>11</v>
      </c>
      <c r="C1119" s="27" t="n">
        <v>13</v>
      </c>
      <c r="D1119" s="27" t="n">
        <v>14</v>
      </c>
      <c r="E1119" s="27" t="n">
        <v>15</v>
      </c>
      <c r="F1119" s="27" t="n">
        <v>16</v>
      </c>
      <c r="G1119" s="27" t="n">
        <v>45</v>
      </c>
      <c r="H1119" s="27" t="n">
        <v>3</v>
      </c>
      <c r="J1119" s="27">
        <f>SUMPRODUCT(COUNTIFS(확률!$J$2:$J$46, 원본!B1119:G1119, 확률!$M$2:$M$46, "&lt;=20"))</f>
        <v/>
      </c>
      <c r="K1119" s="27">
        <f>SUMPRODUCT(COUNTIFS(확률!$J$2:$J$46, 원본!B1119:G1119, 확률!$M$2:$M$46, "&gt;=36"))</f>
        <v/>
      </c>
      <c r="L1119" s="27">
        <f>6-J1119-K1119</f>
        <v/>
      </c>
    </row>
    <row r="1120" ht="16.4" customHeight="1" s="28">
      <c r="A1120" s="31" t="n">
        <v>1119</v>
      </c>
      <c r="B1120" s="27" t="n">
        <v>1</v>
      </c>
      <c r="C1120" s="27" t="n">
        <v>9</v>
      </c>
      <c r="D1120" s="27" t="n">
        <v>12</v>
      </c>
      <c r="E1120" s="27" t="n">
        <v>13</v>
      </c>
      <c r="F1120" s="27" t="n">
        <v>20</v>
      </c>
      <c r="G1120" s="27" t="n">
        <v>45</v>
      </c>
      <c r="H1120" s="27" t="n">
        <v>3</v>
      </c>
      <c r="J1120" s="27">
        <f>SUMPRODUCT(COUNTIFS(확률!$J$2:$J$46, 원본!B1120:G1120, 확률!$M$2:$M$46, "&lt;=20"))</f>
        <v/>
      </c>
      <c r="K1120" s="27">
        <f>SUMPRODUCT(COUNTIFS(확률!$J$2:$J$46, 원본!B1120:G1120, 확률!$M$2:$M$46, "&gt;=36"))</f>
        <v/>
      </c>
      <c r="L1120" s="27">
        <f>6-J1120-K1120</f>
        <v/>
      </c>
    </row>
    <row r="1121" ht="16.4" customHeight="1" s="28">
      <c r="A1121" s="31" t="n">
        <v>1120</v>
      </c>
      <c r="B1121" s="27" t="n">
        <v>2</v>
      </c>
      <c r="C1121" s="27" t="n">
        <v>19</v>
      </c>
      <c r="D1121" s="27" t="n">
        <v>26</v>
      </c>
      <c r="E1121" s="27" t="n">
        <v>31</v>
      </c>
      <c r="F1121" s="27" t="n">
        <v>38</v>
      </c>
      <c r="G1121" s="27" t="n">
        <v>41</v>
      </c>
      <c r="H1121" s="27" t="n">
        <v>34</v>
      </c>
      <c r="J1121" s="27">
        <f>SUMPRODUCT(COUNTIFS(확률!$J$2:$J$46, 원본!B1121:G1121, 확률!$M$2:$M$46, "&lt;=20"))</f>
        <v/>
      </c>
      <c r="K1121" s="27">
        <f>SUMPRODUCT(COUNTIFS(확률!$J$2:$J$46, 원본!B1121:G1121, 확률!$M$2:$M$46, "&gt;=36"))</f>
        <v/>
      </c>
      <c r="L1121" s="27">
        <f>6-J1121-K1121</f>
        <v/>
      </c>
    </row>
    <row r="1122" ht="16.4" customHeight="1" s="28">
      <c r="A1122" s="31" t="n">
        <v>1121</v>
      </c>
      <c r="B1122" s="27" t="n">
        <v>6</v>
      </c>
      <c r="C1122" s="27" t="n">
        <v>24</v>
      </c>
      <c r="D1122" s="27" t="n">
        <v>31</v>
      </c>
      <c r="E1122" s="27" t="n">
        <v>32</v>
      </c>
      <c r="F1122" s="27" t="n">
        <v>38</v>
      </c>
      <c r="G1122" s="27" t="n">
        <v>44</v>
      </c>
      <c r="H1122" s="27" t="n">
        <v>8</v>
      </c>
      <c r="J1122" s="27">
        <f>SUMPRODUCT(COUNTIFS(확률!$J$2:$J$46, 원본!B1122:G1122, 확률!$M$2:$M$46, "&lt;=20"))</f>
        <v/>
      </c>
      <c r="K1122" s="27">
        <f>SUMPRODUCT(COUNTIFS(확률!$J$2:$J$46, 원본!B1122:G1122, 확률!$M$2:$M$46, "&gt;=36"))</f>
        <v/>
      </c>
      <c r="L1122" s="27">
        <f>6-J1122-K1122</f>
        <v/>
      </c>
    </row>
    <row r="1123" ht="16.4" customHeight="1" s="28">
      <c r="A1123" s="31" t="n">
        <v>1122</v>
      </c>
      <c r="B1123" s="27" t="n">
        <v>3</v>
      </c>
      <c r="C1123" s="27" t="n">
        <v>6</v>
      </c>
      <c r="D1123" s="27" t="n">
        <v>21</v>
      </c>
      <c r="E1123" s="27" t="n">
        <v>30</v>
      </c>
      <c r="F1123" s="27" t="n">
        <v>34</v>
      </c>
      <c r="G1123" s="27" t="n">
        <v>35</v>
      </c>
      <c r="H1123" s="27" t="n">
        <v>22</v>
      </c>
      <c r="J1123" s="27">
        <f>SUMPRODUCT(COUNTIFS(확률!$J$2:$J$46, 원본!B1123:G1123, 확률!$M$2:$M$46, "&lt;=20"))</f>
        <v/>
      </c>
      <c r="K1123" s="27">
        <f>SUMPRODUCT(COUNTIFS(확률!$J$2:$J$46, 원본!B1123:G1123, 확률!$M$2:$M$46, "&gt;=36"))</f>
        <v/>
      </c>
      <c r="L1123" s="27">
        <f>6-J1123-K1123</f>
        <v/>
      </c>
    </row>
    <row r="1124" ht="16.4" customHeight="1" s="28">
      <c r="A1124" s="31" t="n">
        <v>1123</v>
      </c>
      <c r="B1124" s="27" t="n">
        <v>13</v>
      </c>
      <c r="C1124" s="27" t="n">
        <v>19</v>
      </c>
      <c r="D1124" s="27" t="n">
        <v>21</v>
      </c>
      <c r="E1124" s="27" t="n">
        <v>24</v>
      </c>
      <c r="F1124" s="27" t="n">
        <v>34</v>
      </c>
      <c r="G1124" s="27" t="n">
        <v>35</v>
      </c>
      <c r="H1124" s="27" t="n">
        <v>26</v>
      </c>
      <c r="J1124" s="27">
        <f>SUMPRODUCT(COUNTIFS(확률!$J$2:$J$46, 원본!B1124:G1124, 확률!$M$2:$M$46, "&lt;=20"))</f>
        <v/>
      </c>
      <c r="K1124" s="27">
        <f>SUMPRODUCT(COUNTIFS(확률!$J$2:$J$46, 원본!B1124:G1124, 확률!$M$2:$M$46, "&gt;=36"))</f>
        <v/>
      </c>
      <c r="L1124" s="27">
        <f>6-J1124-K1124</f>
        <v/>
      </c>
    </row>
    <row r="1125" ht="16.4" customHeight="1" s="28">
      <c r="A1125" s="31" t="n">
        <v>1124</v>
      </c>
      <c r="B1125" s="27" t="n">
        <v>3</v>
      </c>
      <c r="C1125" s="27" t="n">
        <v>8</v>
      </c>
      <c r="D1125" s="27" t="n">
        <v>17</v>
      </c>
      <c r="E1125" s="27" t="n">
        <v>30</v>
      </c>
      <c r="F1125" s="27" t="n">
        <v>33</v>
      </c>
      <c r="G1125" s="27" t="n">
        <v>34</v>
      </c>
      <c r="H1125" s="27" t="n">
        <v>28</v>
      </c>
      <c r="J1125" s="27">
        <f>SUMPRODUCT(COUNTIFS(확률!$J$2:$J$46, 원본!B1125:G1125, 확률!$M$2:$M$46, "&lt;=20"))</f>
        <v/>
      </c>
      <c r="K1125" s="27">
        <f>SUMPRODUCT(COUNTIFS(확률!$J$2:$J$46, 원본!B1125:G1125, 확률!$M$2:$M$46, "&gt;=36"))</f>
        <v/>
      </c>
      <c r="L1125" s="27">
        <f>6-J1125-K1125</f>
        <v/>
      </c>
    </row>
    <row r="1126" ht="16.4" customHeight="1" s="28">
      <c r="A1126" s="31" t="n">
        <v>1125</v>
      </c>
      <c r="B1126" s="27" t="n">
        <v>6</v>
      </c>
      <c r="C1126" s="27" t="n">
        <v>14</v>
      </c>
      <c r="D1126" s="27" t="n">
        <v>25</v>
      </c>
      <c r="E1126" s="27" t="n">
        <v>33</v>
      </c>
      <c r="F1126" s="27" t="n">
        <v>40</v>
      </c>
      <c r="G1126" s="27" t="n">
        <v>44</v>
      </c>
      <c r="H1126" s="27" t="n">
        <v>30</v>
      </c>
      <c r="J1126" s="27">
        <f>SUMPRODUCT(COUNTIFS(확률!$J$2:$J$46, 원본!B1126:G1126, 확률!$M$2:$M$46, "&lt;=20"))</f>
        <v/>
      </c>
      <c r="K1126" s="27">
        <f>SUMPRODUCT(COUNTIFS(확률!$J$2:$J$46, 원본!B1126:G1126, 확률!$M$2:$M$46, "&gt;=36"))</f>
        <v/>
      </c>
      <c r="L1126" s="27">
        <f>6-J1126-K1126</f>
        <v/>
      </c>
    </row>
    <row r="1127" ht="16.4" customHeight="1" s="28">
      <c r="A1127" s="31" t="n">
        <v>1126</v>
      </c>
      <c r="B1127" s="27" t="n">
        <v>4</v>
      </c>
      <c r="C1127" s="27" t="n">
        <v>5</v>
      </c>
      <c r="D1127" s="27" t="n">
        <v>9</v>
      </c>
      <c r="E1127" s="27" t="n">
        <v>11</v>
      </c>
      <c r="F1127" s="27" t="n">
        <v>37</v>
      </c>
      <c r="G1127" s="27" t="n">
        <v>40</v>
      </c>
      <c r="H1127" s="27" t="n">
        <v>7</v>
      </c>
      <c r="J1127" s="27">
        <f>SUMPRODUCT(COUNTIFS(확률!$J$2:$J$46, 원본!B1127:G1127, 확률!$M$2:$M$46, "&lt;=20"))</f>
        <v/>
      </c>
      <c r="K1127" s="27">
        <f>SUMPRODUCT(COUNTIFS(확률!$J$2:$J$46, 원본!B1127:G1127, 확률!$M$2:$M$46, "&gt;=36"))</f>
        <v/>
      </c>
      <c r="L1127" s="27">
        <f>6-J1127-K1127</f>
        <v/>
      </c>
    </row>
    <row r="1128" ht="16.4" customHeight="1" s="28">
      <c r="A1128" s="31" t="n">
        <v>1127</v>
      </c>
      <c r="B1128" s="27" t="n">
        <v>10</v>
      </c>
      <c r="C1128" s="27" t="n">
        <v>15</v>
      </c>
      <c r="D1128" s="27" t="n">
        <v>24</v>
      </c>
      <c r="E1128" s="27" t="n">
        <v>30</v>
      </c>
      <c r="F1128" s="27" t="n">
        <v>31</v>
      </c>
      <c r="G1128" s="27" t="n">
        <v>37</v>
      </c>
      <c r="H1128" s="27" t="n">
        <v>32</v>
      </c>
      <c r="J1128" s="27">
        <f>SUMPRODUCT(COUNTIFS(확률!$J$2:$J$46, 원본!B1128:G1128, 확률!$M$2:$M$46, "&lt;=20"))</f>
        <v/>
      </c>
      <c r="K1128" s="27">
        <f>SUMPRODUCT(COUNTIFS(확률!$J$2:$J$46, 원본!B1128:G1128, 확률!$M$2:$M$46, "&gt;=36"))</f>
        <v/>
      </c>
      <c r="L1128" s="27">
        <f>6-J1128-K1128</f>
        <v/>
      </c>
    </row>
    <row r="1129" ht="16.4" customHeight="1" s="28">
      <c r="A1129" s="31" t="n">
        <v>1128</v>
      </c>
      <c r="B1129" s="27" t="n">
        <v>1</v>
      </c>
      <c r="C1129" s="27" t="n">
        <v>5</v>
      </c>
      <c r="D1129" s="27" t="n">
        <v>8</v>
      </c>
      <c r="E1129" s="27" t="n">
        <v>16</v>
      </c>
      <c r="F1129" s="27" t="n">
        <v>28</v>
      </c>
      <c r="G1129" s="27" t="n">
        <v>33</v>
      </c>
      <c r="H1129" s="27" t="n">
        <v>45</v>
      </c>
      <c r="J1129" s="27">
        <f>SUMPRODUCT(COUNTIFS(확률!$J$2:$J$46, 원본!B1129:G1129, 확률!$M$2:$M$46, "&lt;=20"))</f>
        <v/>
      </c>
      <c r="K1129" s="27">
        <f>SUMPRODUCT(COUNTIFS(확률!$J$2:$J$46, 원본!B1129:G1129, 확률!$M$2:$M$46, "&gt;=36"))</f>
        <v/>
      </c>
      <c r="L1129" s="27">
        <f>6-J1129-K1129</f>
        <v/>
      </c>
    </row>
    <row r="1130" ht="16.4" customHeight="1" s="28">
      <c r="A1130" s="31" t="n">
        <v>1129</v>
      </c>
      <c r="B1130" s="27" t="n">
        <v>5</v>
      </c>
      <c r="C1130" s="27" t="n">
        <v>10</v>
      </c>
      <c r="D1130" s="27" t="n">
        <v>11</v>
      </c>
      <c r="E1130" s="27" t="n">
        <v>17</v>
      </c>
      <c r="F1130" s="27" t="n">
        <v>28</v>
      </c>
      <c r="G1130" s="27" t="n">
        <v>34</v>
      </c>
      <c r="H1130" s="27" t="n">
        <v>22</v>
      </c>
      <c r="J1130" s="27">
        <f>SUMPRODUCT(COUNTIFS(확률!$J$2:$J$46, 원본!B1130:G1130, 확률!$M$2:$M$46, "&lt;=20"))</f>
        <v/>
      </c>
      <c r="K1130" s="27">
        <f>SUMPRODUCT(COUNTIFS(확률!$J$2:$J$46, 원본!B1130:G1130, 확률!$M$2:$M$46, "&gt;=36"))</f>
        <v/>
      </c>
      <c r="L1130" s="27">
        <f>6-J1130-K1130</f>
        <v/>
      </c>
    </row>
    <row r="1131" ht="16.5" customHeight="1" s="28">
      <c r="A1131" s="31" t="n">
        <v>1130</v>
      </c>
      <c r="B1131" s="27" t="n">
        <v>15</v>
      </c>
      <c r="C1131" s="27" t="n">
        <v>19</v>
      </c>
      <c r="D1131" s="27" t="n">
        <v>21</v>
      </c>
      <c r="E1131" s="27" t="n">
        <v>25</v>
      </c>
      <c r="F1131" s="27" t="n">
        <v>27</v>
      </c>
      <c r="G1131" s="27" t="n">
        <v>28</v>
      </c>
      <c r="H1131" s="27" t="n">
        <v>40</v>
      </c>
      <c r="J1131" s="27">
        <f>SUMPRODUCT(COUNTIFS(확률!$J$2:$J$46, 원본!B1131:G1131, 확률!$M$2:$M$46, "&lt;=20"))</f>
        <v/>
      </c>
      <c r="K1131" s="27">
        <f>SUMPRODUCT(COUNTIFS(확률!$J$2:$J$46, 원본!B1131:G1131, 확률!$M$2:$M$46, "&gt;=36"))</f>
        <v/>
      </c>
      <c r="L1131" s="27">
        <f>6-J1131-K1131</f>
        <v/>
      </c>
    </row>
    <row r="1132" ht="16.5" customHeight="1" s="28">
      <c r="A1132" s="31" t="n">
        <v>1131</v>
      </c>
      <c r="B1132" s="27" t="n">
        <v>1</v>
      </c>
      <c r="C1132" s="27" t="n">
        <v>6</v>
      </c>
      <c r="D1132" s="27" t="n">
        <v>21</v>
      </c>
      <c r="E1132" s="27" t="n">
        <v>30</v>
      </c>
      <c r="F1132" s="27" t="n">
        <v>34</v>
      </c>
      <c r="G1132" s="27" t="n">
        <v>42</v>
      </c>
      <c r="H1132" s="27" t="n">
        <v>40</v>
      </c>
      <c r="J1132" s="27">
        <f>SUMPRODUCT(COUNTIFS(확률!$J$2:$J$46, 원본!B1132:G1132, 확률!$M$2:$M$46, "&lt;=20"))</f>
        <v/>
      </c>
      <c r="K1132" s="27">
        <f>SUMPRODUCT(COUNTIFS(확률!$J$2:$J$46, 원본!B1132:G1132, 확률!$M$2:$M$46, "&gt;=36"))</f>
        <v/>
      </c>
      <c r="L1132" s="27">
        <f>6-J1132-K1132</f>
        <v/>
      </c>
    </row>
    <row r="1133" ht="16.5" customHeight="1" s="28">
      <c r="A1133" s="31" t="n">
        <v>1132</v>
      </c>
      <c r="B1133" s="27" t="n">
        <v>6</v>
      </c>
      <c r="C1133" s="27" t="n">
        <v>7</v>
      </c>
      <c r="D1133" s="27" t="n">
        <v>19</v>
      </c>
      <c r="E1133" s="27" t="n">
        <v>28</v>
      </c>
      <c r="F1133" s="27" t="n">
        <v>34</v>
      </c>
      <c r="G1133" s="27" t="n">
        <v>41</v>
      </c>
      <c r="H1133" s="27" t="n">
        <v>28</v>
      </c>
      <c r="J1133" s="27">
        <f>SUMPRODUCT(COUNTIFS(확률!$J$2:$J$46, 원본!B1133:G1133, 확률!$M$2:$M$46, "&lt;=20"))</f>
        <v/>
      </c>
      <c r="K1133" s="27">
        <f>SUMPRODUCT(COUNTIFS(확률!$J$2:$J$46, 원본!B1133:G1133, 확률!$M$2:$M$46, "&gt;=36"))</f>
        <v/>
      </c>
      <c r="L1133" s="27">
        <f>6-J1133-K1133</f>
        <v/>
      </c>
    </row>
    <row r="1134" ht="16.5" customHeight="1" s="28">
      <c r="A1134" s="31" t="n">
        <v>1133</v>
      </c>
      <c r="B1134" s="27" t="n">
        <v>13</v>
      </c>
      <c r="C1134" s="27" t="n">
        <v>14</v>
      </c>
      <c r="D1134" s="27" t="n">
        <v>18</v>
      </c>
      <c r="E1134" s="27" t="n">
        <v>21</v>
      </c>
      <c r="F1134" s="27" t="n">
        <v>30</v>
      </c>
      <c r="G1134" s="27" t="n">
        <v>35</v>
      </c>
      <c r="H1134" s="27" t="n">
        <v>12</v>
      </c>
      <c r="J1134" s="27">
        <f>SUMPRODUCT(COUNTIFS(확률!$J$2:$J$46, 원본!B1134:G1134, 확률!$M$2:$M$46, "&lt;=20"))</f>
        <v/>
      </c>
      <c r="K1134" s="27">
        <f>SUMPRODUCT(COUNTIFS(확률!$J$2:$J$46, 원본!B1134:G1134, 확률!$M$2:$M$46, "&gt;=36"))</f>
        <v/>
      </c>
      <c r="L1134" s="27">
        <f>6-J1134-K1134</f>
        <v/>
      </c>
    </row>
    <row r="1135" ht="16.5" customHeight="1" s="28">
      <c r="A1135" s="31" t="n">
        <v>1134</v>
      </c>
      <c r="B1135" s="27" t="n">
        <v>3</v>
      </c>
      <c r="C1135" s="27" t="n">
        <v>7</v>
      </c>
      <c r="D1135" s="27" t="n">
        <v>11</v>
      </c>
      <c r="E1135" s="27" t="n">
        <v>13</v>
      </c>
      <c r="F1135" s="27" t="n">
        <v>25</v>
      </c>
      <c r="G1135" s="27" t="n">
        <v>35</v>
      </c>
      <c r="H1135" s="27" t="n">
        <v>4</v>
      </c>
      <c r="J1135" s="27">
        <f>SUMPRODUCT(COUNTIFS(확률!$J$2:$J$46, 원본!B1135:G1135, 확률!$M$2:$M$46, "&lt;=20"))</f>
        <v/>
      </c>
      <c r="K1135" s="27">
        <f>SUMPRODUCT(COUNTIFS(확률!$J$2:$J$46, 원본!B1135:G1135, 확률!$M$2:$M$46, "&gt;=36"))</f>
        <v/>
      </c>
      <c r="L1135" s="27">
        <f>6-J1135-K1135</f>
        <v/>
      </c>
    </row>
    <row r="1136" ht="16.5" customHeight="1" s="28">
      <c r="A1136" s="31" t="n">
        <v>1135</v>
      </c>
      <c r="B1136" s="27" t="n">
        <v>1</v>
      </c>
      <c r="C1136" s="27" t="n">
        <v>6</v>
      </c>
      <c r="D1136" s="27" t="n">
        <v>13</v>
      </c>
      <c r="E1136" s="27" t="n">
        <v>19</v>
      </c>
      <c r="F1136" s="27" t="n">
        <v>21</v>
      </c>
      <c r="G1136" s="27" t="n">
        <v>33</v>
      </c>
      <c r="H1136" s="27" t="n">
        <v>4</v>
      </c>
      <c r="J1136" s="27">
        <f>SUMPRODUCT(COUNTIFS(확률!$J$2:$J$46, 원본!B1136:G1136, 확률!$M$2:$M$46, "&lt;=20"))</f>
        <v/>
      </c>
      <c r="K1136" s="27">
        <f>SUMPRODUCT(COUNTIFS(확률!$J$2:$J$46, 원본!B1136:G1136, 확률!$M$2:$M$46, "&gt;=36"))</f>
        <v/>
      </c>
      <c r="L1136" s="27">
        <f>6-J1136-K1136</f>
        <v/>
      </c>
    </row>
    <row r="1137" ht="16.5" customHeight="1" s="28">
      <c r="A1137" s="31" t="n">
        <v>1136</v>
      </c>
      <c r="B1137" s="27" t="n">
        <v>21</v>
      </c>
      <c r="C1137" s="27" t="n">
        <v>33</v>
      </c>
      <c r="D1137" s="27" t="n">
        <v>35</v>
      </c>
      <c r="E1137" s="27" t="n">
        <v>38</v>
      </c>
      <c r="F1137" s="27" t="n">
        <v>42</v>
      </c>
      <c r="G1137" s="27" t="n">
        <v>44</v>
      </c>
      <c r="H1137" s="27" t="n">
        <v>1</v>
      </c>
      <c r="J1137" s="27">
        <f>SUMPRODUCT(COUNTIFS(확률!$J$2:$J$46, 원본!B1137:G1137, 확률!$M$2:$M$46, "&lt;=20"))</f>
        <v/>
      </c>
      <c r="K1137" s="27">
        <f>SUMPRODUCT(COUNTIFS(확률!$J$2:$J$46, 원본!B1137:G1137, 확률!$M$2:$M$46, "&gt;=36"))</f>
        <v/>
      </c>
      <c r="L1137" s="27">
        <f>6-J1137-K1137</f>
        <v/>
      </c>
    </row>
    <row r="1138" ht="16.5" customHeight="1" s="28">
      <c r="A1138" s="31" t="n">
        <v>1137</v>
      </c>
      <c r="B1138" s="27" t="n">
        <v>4</v>
      </c>
      <c r="C1138" s="27" t="n">
        <v>9</v>
      </c>
      <c r="D1138" s="27" t="n">
        <v>12</v>
      </c>
      <c r="E1138" s="27" t="n">
        <v>15</v>
      </c>
      <c r="F1138" s="27" t="n">
        <v>19</v>
      </c>
      <c r="G1138" s="27" t="n">
        <v>45</v>
      </c>
      <c r="H1138" s="27" t="n">
        <v>44</v>
      </c>
      <c r="J1138" s="27">
        <f>SUMPRODUCT(COUNTIFS(확률!$J$2:$J$46, 원본!B1138:G1138, 확률!$M$2:$M$46, "&lt;=20"))</f>
        <v/>
      </c>
      <c r="K1138" s="27">
        <f>SUMPRODUCT(COUNTIFS(확률!$J$2:$J$46, 원본!B1138:G1138, 확률!$M$2:$M$46, "&gt;=36"))</f>
        <v/>
      </c>
      <c r="L1138" s="27">
        <f>6-J1138-K1138</f>
        <v/>
      </c>
    </row>
    <row r="1139" ht="16.5" customHeight="1" s="28">
      <c r="A1139" s="31" t="n">
        <v>1138</v>
      </c>
      <c r="B1139" s="27" t="n">
        <v>14</v>
      </c>
      <c r="C1139" s="27" t="n">
        <v>16</v>
      </c>
      <c r="D1139" s="27" t="n">
        <v>19</v>
      </c>
      <c r="E1139" s="27" t="n">
        <v>20</v>
      </c>
      <c r="F1139" s="27" t="n">
        <v>29</v>
      </c>
      <c r="G1139" s="27" t="n">
        <v>34</v>
      </c>
      <c r="H1139" s="27" t="n">
        <v>35</v>
      </c>
      <c r="J1139" s="27">
        <f>SUMPRODUCT(COUNTIFS(확률!$J$2:$J$46, 원본!B1139:G1139, 확률!$M$2:$M$46, "&lt;=20"))</f>
        <v/>
      </c>
      <c r="K1139" s="27">
        <f>SUMPRODUCT(COUNTIFS(확률!$J$2:$J$46, 원본!B1139:G1139, 확률!$M$2:$M$46, "&gt;=36"))</f>
        <v/>
      </c>
      <c r="L1139" s="27">
        <f>6-J1139-K1139</f>
        <v/>
      </c>
    </row>
    <row r="1140" ht="16.5" customHeight="1" s="28">
      <c r="A1140" s="31" t="n">
        <v>1139</v>
      </c>
      <c r="B1140" s="27" t="n">
        <v>7</v>
      </c>
      <c r="C1140" s="27" t="n">
        <v>12</v>
      </c>
      <c r="D1140" s="27" t="n">
        <v>15</v>
      </c>
      <c r="E1140" s="27" t="n">
        <v>23</v>
      </c>
      <c r="F1140" s="27" t="n">
        <v>31</v>
      </c>
      <c r="G1140" s="27" t="n">
        <v>34</v>
      </c>
      <c r="H1140" s="27" t="n">
        <v>41</v>
      </c>
      <c r="J1140" s="27">
        <f>SUMPRODUCT(COUNTIFS(확률!$J$2:$J$46, 원본!B1140:G1140, 확률!$M$2:$M$46, "&lt;=20"))</f>
        <v/>
      </c>
      <c r="K1140" s="27">
        <f>SUMPRODUCT(COUNTIFS(확률!$J$2:$J$46, 원본!B1140:G1140, 확률!$M$2:$M$46, "&gt;=36"))</f>
        <v/>
      </c>
      <c r="L1140" s="27">
        <f>6-J1140-K1140</f>
        <v/>
      </c>
    </row>
    <row r="1141" ht="16.5" customHeight="1" s="28">
      <c r="A1141" s="31" t="n">
        <v>1140</v>
      </c>
      <c r="B1141" s="27" t="n">
        <v>7</v>
      </c>
      <c r="C1141" s="27" t="n">
        <v>10</v>
      </c>
      <c r="D1141" s="27" t="n">
        <v>22</v>
      </c>
      <c r="E1141" s="27" t="n">
        <v>29</v>
      </c>
      <c r="F1141" s="27" t="n">
        <v>31</v>
      </c>
      <c r="G1141" s="27" t="n">
        <v>38</v>
      </c>
      <c r="H1141" s="27" t="n">
        <v>15</v>
      </c>
      <c r="J1141" s="27">
        <f>SUMPRODUCT(COUNTIFS(확률!$J$2:$J$46, 원본!B1141:G1141, 확률!$M$2:$M$46, "&lt;=20"))</f>
        <v/>
      </c>
      <c r="K1141" s="27">
        <f>SUMPRODUCT(COUNTIFS(확률!$J$2:$J$46, 원본!B1141:G1141, 확률!$M$2:$M$46, "&gt;=36"))</f>
        <v/>
      </c>
      <c r="L1141" s="27">
        <f>6-J1141-K1141</f>
        <v/>
      </c>
    </row>
    <row r="1142" ht="16.5" customHeight="1" s="28">
      <c r="A1142" s="31" t="n">
        <v>1141</v>
      </c>
      <c r="B1142" s="27" t="n">
        <v>1</v>
      </c>
      <c r="C1142" s="27" t="n">
        <v>5</v>
      </c>
      <c r="D1142" s="27" t="n">
        <v>11</v>
      </c>
      <c r="E1142" s="27" t="n">
        <v>14</v>
      </c>
      <c r="F1142" s="27" t="n">
        <v>24</v>
      </c>
      <c r="G1142" s="27" t="n">
        <v>39</v>
      </c>
      <c r="H1142" s="27" t="n">
        <v>23</v>
      </c>
      <c r="J1142" s="27">
        <f>SUMPRODUCT(COUNTIFS(확률!$J$2:$J$46, 원본!B1142:G1142, 확률!$M$2:$M$46, "&lt;=20"))</f>
        <v/>
      </c>
      <c r="K1142" s="27">
        <f>SUMPRODUCT(COUNTIFS(확률!$J$2:$J$46, 원본!B1142:G1142, 확률!$M$2:$M$46, "&gt;=36"))</f>
        <v/>
      </c>
      <c r="L1142" s="27">
        <f>6-J1142-K1142</f>
        <v/>
      </c>
    </row>
    <row r="1143" ht="16.5" customHeight="1" s="28">
      <c r="A1143" s="31" t="n">
        <v>1142</v>
      </c>
      <c r="B1143" s="27" t="n">
        <v>3</v>
      </c>
      <c r="C1143" s="27" t="n">
        <v>6</v>
      </c>
      <c r="D1143" s="27" t="n">
        <v>13</v>
      </c>
      <c r="E1143" s="27" t="n">
        <v>21</v>
      </c>
      <c r="F1143" s="27" t="n">
        <v>22</v>
      </c>
      <c r="G1143" s="27" t="n">
        <v>34</v>
      </c>
      <c r="H1143" s="27" t="n">
        <v>41</v>
      </c>
      <c r="J1143" s="27">
        <f>SUMPRODUCT(COUNTIFS(확률!$J$2:$J$46, 원본!B1143:G1143, 확률!$M$2:$M$46, "&lt;=20"))</f>
        <v/>
      </c>
      <c r="K1143" s="27">
        <f>SUMPRODUCT(COUNTIFS(확률!$J$2:$J$46, 원본!B1143:G1143, 확률!$M$2:$M$46, "&gt;=36"))</f>
        <v/>
      </c>
      <c r="L1143" s="27">
        <f>6-J1143-K1143</f>
        <v/>
      </c>
    </row>
    <row r="1144" ht="16.5" customHeight="1" s="28">
      <c r="A1144" s="31" t="n">
        <v>1143</v>
      </c>
      <c r="B1144" s="27" t="n">
        <v>10</v>
      </c>
      <c r="C1144" s="27" t="n">
        <v>16</v>
      </c>
      <c r="D1144" s="27" t="n">
        <v>17</v>
      </c>
      <c r="E1144" s="27" t="n">
        <v>27</v>
      </c>
      <c r="F1144" s="27" t="n">
        <v>28</v>
      </c>
      <c r="G1144" s="27" t="n">
        <v>36</v>
      </c>
      <c r="H1144" s="27" t="n">
        <v>6</v>
      </c>
      <c r="J1144" s="27">
        <f>SUMPRODUCT(COUNTIFS(확률!$J$2:$J$46, 원본!B1144:G1144, 확률!$M$2:$M$46, "&lt;=20"))</f>
        <v/>
      </c>
      <c r="K1144" s="27">
        <f>SUMPRODUCT(COUNTIFS(확률!$J$2:$J$46, 원본!B1144:G1144, 확률!$M$2:$M$46, "&gt;=36"))</f>
        <v/>
      </c>
      <c r="L1144" s="27">
        <f>6-J1144-K1144</f>
        <v/>
      </c>
    </row>
    <row r="1145" ht="16.5" customHeight="1" s="28">
      <c r="A1145" s="31" t="n">
        <v>1144</v>
      </c>
      <c r="B1145" s="27" t="n">
        <v>3</v>
      </c>
      <c r="C1145" s="27" t="n">
        <v>4</v>
      </c>
      <c r="D1145" s="27" t="n">
        <v>12</v>
      </c>
      <c r="E1145" s="27" t="n">
        <v>15</v>
      </c>
      <c r="F1145" s="27" t="n">
        <v>26</v>
      </c>
      <c r="G1145" s="27" t="n">
        <v>34</v>
      </c>
      <c r="H1145" s="27" t="n">
        <v>2</v>
      </c>
      <c r="J1145" s="27">
        <f>SUMPRODUCT(COUNTIFS(확률!$J$2:$J$46, 원본!B1145:G1145, 확률!$M$2:$M$46, "&lt;=20"))</f>
        <v/>
      </c>
      <c r="K1145" s="27">
        <f>SUMPRODUCT(COUNTIFS(확률!$J$2:$J$46, 원본!B1145:G1145, 확률!$M$2:$M$46, "&gt;=36"))</f>
        <v/>
      </c>
      <c r="L1145" s="27">
        <f>6-J1145-K1145</f>
        <v/>
      </c>
    </row>
    <row r="1146" ht="16.5" customHeight="1" s="28">
      <c r="A1146" s="31" t="n">
        <v>1145</v>
      </c>
      <c r="B1146" s="27" t="n">
        <v>2</v>
      </c>
      <c r="C1146" s="27" t="n">
        <v>11</v>
      </c>
      <c r="D1146" s="27" t="n">
        <v>14</v>
      </c>
      <c r="E1146" s="27" t="n">
        <v>25</v>
      </c>
      <c r="F1146" s="27" t="n">
        <v>32</v>
      </c>
      <c r="G1146" s="27" t="n">
        <v>44</v>
      </c>
      <c r="H1146" s="27" t="n">
        <v>23</v>
      </c>
      <c r="J1146" s="27">
        <f>SUMPRODUCT(COUNTIFS(확률!$J$2:$J$46, 원본!B1146:G1146, 확률!$M$2:$M$46, "&lt;=20"))</f>
        <v/>
      </c>
      <c r="K1146" s="27">
        <f>SUMPRODUCT(COUNTIFS(확률!$J$2:$J$46, 원본!B1146:G1146, 확률!$M$2:$M$46, "&gt;=36"))</f>
        <v/>
      </c>
      <c r="L1146" s="27">
        <f>6-J1146-K1146</f>
        <v/>
      </c>
    </row>
    <row r="1147" ht="16.5" customHeight="1" s="28">
      <c r="A1147" s="31" t="n">
        <v>1146</v>
      </c>
      <c r="B1147" s="27" t="n">
        <v>6</v>
      </c>
      <c r="C1147" s="27" t="n">
        <v>11</v>
      </c>
      <c r="D1147" s="27" t="n">
        <v>17</v>
      </c>
      <c r="E1147" s="27" t="n">
        <v>19</v>
      </c>
      <c r="F1147" s="27" t="n">
        <v>40</v>
      </c>
      <c r="G1147" s="27" t="n">
        <v>43</v>
      </c>
      <c r="H1147" s="27" t="n">
        <v>28</v>
      </c>
      <c r="J1147" s="27">
        <f>SUMPRODUCT(COUNTIFS(확률!$J$2:$J$46, 원본!B1147:G1147, 확률!$M$2:$M$46, "&lt;=20"))</f>
        <v/>
      </c>
      <c r="K1147" s="27">
        <f>SUMPRODUCT(COUNTIFS(확률!$J$2:$J$46, 원본!B1147:G1147, 확률!$M$2:$M$46, "&gt;=36"))</f>
        <v/>
      </c>
      <c r="L1147" s="27">
        <f>6-J1147-K1147</f>
        <v/>
      </c>
    </row>
    <row r="1148" ht="16.5" customHeight="1" s="28">
      <c r="A1148" s="31" t="n">
        <v>1147</v>
      </c>
      <c r="B1148" s="27" t="n">
        <v>7</v>
      </c>
      <c r="C1148" s="27" t="n">
        <v>9</v>
      </c>
      <c r="D1148" s="27" t="n">
        <v>12</v>
      </c>
      <c r="E1148" s="27" t="n">
        <v>23</v>
      </c>
      <c r="F1148" s="27" t="n">
        <v>28</v>
      </c>
      <c r="G1148" s="27" t="n">
        <v>45</v>
      </c>
      <c r="H1148" s="27" t="n">
        <v>2</v>
      </c>
      <c r="J1148" s="27">
        <f>SUMPRODUCT(COUNTIFS(확률!$J$2:$J$46, 원본!B1148:G1148, 확률!$M$2:$M$46, "&lt;=20"))</f>
        <v/>
      </c>
      <c r="K1148" s="27">
        <f>SUMPRODUCT(COUNTIFS(확률!$J$2:$J$46, 원본!B1148:G1148, 확률!$M$2:$M$46, "&gt;=36"))</f>
        <v/>
      </c>
      <c r="L1148" s="27">
        <f>6-J1148-K1148</f>
        <v/>
      </c>
    </row>
    <row r="1149" ht="16.5" customHeight="1" s="28">
      <c r="A1149" s="31" t="n">
        <v>1148</v>
      </c>
      <c r="B1149" s="27" t="n">
        <v>11</v>
      </c>
      <c r="C1149" s="27" t="n">
        <v>14</v>
      </c>
      <c r="D1149" s="27" t="n">
        <v>23</v>
      </c>
      <c r="E1149" s="27" t="n">
        <v>24</v>
      </c>
      <c r="F1149" s="27" t="n">
        <v>30</v>
      </c>
      <c r="G1149" s="27" t="n">
        <v>41</v>
      </c>
      <c r="H1149" s="27" t="n">
        <v>35</v>
      </c>
      <c r="J1149" s="27">
        <f>SUMPRODUCT(COUNTIFS(확률!$J$2:$J$46, 원본!B1149:G1149, 확률!$M$2:$M$46, "&lt;=20"))</f>
        <v/>
      </c>
      <c r="K1149" s="27">
        <f>SUMPRODUCT(COUNTIFS(확률!$J$2:$J$46, 원본!B1149:G1149, 확률!$M$2:$M$46, "&gt;=36"))</f>
        <v/>
      </c>
      <c r="L1149" s="27">
        <f>6-J1149-K1149</f>
        <v/>
      </c>
    </row>
    <row r="1150" ht="16.5" customHeight="1" s="28">
      <c r="A1150" s="31" t="n">
        <v>1149</v>
      </c>
      <c r="B1150" s="27" t="n">
        <v>5</v>
      </c>
      <c r="C1150" s="27" t="n">
        <v>18</v>
      </c>
      <c r="D1150" s="27" t="n">
        <v>20</v>
      </c>
      <c r="E1150" s="27" t="n">
        <v>23</v>
      </c>
      <c r="F1150" s="27" t="n">
        <v>32</v>
      </c>
      <c r="G1150" s="27" t="n">
        <v>35</v>
      </c>
      <c r="H1150" s="27" t="n">
        <v>21</v>
      </c>
      <c r="J1150" s="27">
        <f>SUMPRODUCT(COUNTIFS(확률!$J$2:$J$46, 원본!B1150:G1150, 확률!$M$2:$M$46, "&lt;=20"))</f>
        <v/>
      </c>
      <c r="K1150" s="27">
        <f>SUMPRODUCT(COUNTIFS(확률!$J$2:$J$46, 원본!B1150:G1150, 확률!$M$2:$M$46, "&gt;=36"))</f>
        <v/>
      </c>
      <c r="L1150" s="27">
        <f>6-J1150-K1150</f>
        <v/>
      </c>
    </row>
    <row r="1151" ht="16.5" customHeight="1" s="28">
      <c r="A1151" s="31" t="n">
        <v>1150</v>
      </c>
      <c r="B1151" s="27" t="n">
        <v>10</v>
      </c>
      <c r="C1151" s="27" t="n">
        <v>11</v>
      </c>
      <c r="D1151" s="27" t="n">
        <v>15</v>
      </c>
      <c r="E1151" s="27" t="n">
        <v>20</v>
      </c>
      <c r="F1151" s="27" t="n">
        <v>25</v>
      </c>
      <c r="G1151" s="27" t="n">
        <v>32</v>
      </c>
      <c r="H1151" s="27" t="n">
        <v>40</v>
      </c>
      <c r="J1151" s="27">
        <f>SUMPRODUCT(COUNTIFS(확률!$J$2:$J$46, 원본!B1151:G1151, 확률!$M$2:$M$46, "&lt;=20"))</f>
        <v/>
      </c>
      <c r="K1151" s="27">
        <f>SUMPRODUCT(COUNTIFS(확률!$J$2:$J$46, 원본!B1151:G1151, 확률!$M$2:$M$46, "&gt;=36"))</f>
        <v/>
      </c>
      <c r="L1151" s="27">
        <f>6-J1151-K1151</f>
        <v/>
      </c>
    </row>
    <row r="1152" ht="16.5" customHeight="1" s="28">
      <c r="A1152" s="31" t="n">
        <v>1151</v>
      </c>
      <c r="B1152" s="27" t="n">
        <v>13</v>
      </c>
      <c r="C1152" s="27" t="n">
        <v>21</v>
      </c>
      <c r="D1152" s="27" t="n">
        <v>25</v>
      </c>
      <c r="E1152" s="27" t="n">
        <v>29</v>
      </c>
      <c r="F1152" s="27" t="n">
        <v>34</v>
      </c>
      <c r="G1152" s="27" t="n">
        <v>44</v>
      </c>
      <c r="H1152" s="27" t="n">
        <v>21</v>
      </c>
      <c r="J1152" s="27">
        <f>SUMPRODUCT(COUNTIFS(확률!$J$2:$J$46, 원본!B1152:G1152, 확률!$M$2:$M$46, "&lt;=20"))</f>
        <v/>
      </c>
      <c r="K1152" s="27">
        <f>SUMPRODUCT(COUNTIFS(확률!$J$2:$J$46, 원본!B1152:G1152, 확률!$M$2:$M$46, "&gt;=36"))</f>
        <v/>
      </c>
      <c r="L1152" s="27">
        <f>6-J1152-K1152</f>
        <v/>
      </c>
    </row>
    <row r="1153" ht="16.5" customHeight="1" s="28">
      <c r="A1153" s="31" t="n">
        <v>1152</v>
      </c>
      <c r="B1153" s="27" t="n">
        <v>1</v>
      </c>
      <c r="C1153" s="27" t="n">
        <v>6</v>
      </c>
      <c r="D1153" s="27" t="n">
        <v>12</v>
      </c>
      <c r="E1153" s="27" t="n">
        <v>27</v>
      </c>
      <c r="F1153" s="27" t="n">
        <v>34</v>
      </c>
      <c r="G1153" s="27" t="n">
        <v>39</v>
      </c>
      <c r="H1153" s="27" t="n">
        <v>30</v>
      </c>
      <c r="J1153" s="27">
        <f>SUMPRODUCT(COUNTIFS(확률!$J$2:$J$46, 원본!B1153:G1153, 확률!$M$2:$M$46, "&lt;=20"))</f>
        <v/>
      </c>
      <c r="K1153" s="27">
        <f>SUMPRODUCT(COUNTIFS(확률!$J$2:$J$46, 원본!B1153:G1153, 확률!$M$2:$M$46, "&gt;=36"))</f>
        <v/>
      </c>
      <c r="L1153" s="27">
        <f>6-J1153-K1153</f>
        <v/>
      </c>
    </row>
    <row r="1154" ht="16.5" customHeight="1" s="28">
      <c r="A1154" s="31" t="n">
        <v>1153</v>
      </c>
      <c r="B1154" s="27" t="n">
        <v>5</v>
      </c>
      <c r="C1154" s="27" t="n">
        <v>14</v>
      </c>
      <c r="D1154" s="27" t="n">
        <v>18</v>
      </c>
      <c r="E1154" s="27" t="n">
        <v>21</v>
      </c>
      <c r="F1154" s="27" t="n">
        <v>23</v>
      </c>
      <c r="G1154" s="27" t="n">
        <v>41</v>
      </c>
      <c r="H1154" s="27" t="n">
        <v>13</v>
      </c>
      <c r="J1154" s="27">
        <f>SUMPRODUCT(COUNTIFS(확률!$J$2:$J$46, 원본!B1154:G1154, 확률!$M$2:$M$46, "&lt;=20"))</f>
        <v/>
      </c>
      <c r="K1154" s="27">
        <f>SUMPRODUCT(COUNTIFS(확률!$J$2:$J$46, 원본!B1154:G1154, 확률!$M$2:$M$46, "&gt;=36"))</f>
        <v/>
      </c>
      <c r="L1154" s="27">
        <f>6-J1154-K1154</f>
        <v/>
      </c>
    </row>
    <row r="1155" ht="16.5" customHeight="1" s="28">
      <c r="A1155" s="31" t="n">
        <v>1154</v>
      </c>
      <c r="B1155" s="27" t="n">
        <v>1</v>
      </c>
      <c r="C1155" s="27" t="n">
        <v>8</v>
      </c>
      <c r="D1155" s="27" t="n">
        <v>13</v>
      </c>
      <c r="E1155" s="27" t="n">
        <v>21</v>
      </c>
      <c r="F1155" s="27" t="n">
        <v>25</v>
      </c>
      <c r="G1155" s="27" t="n">
        <v>33</v>
      </c>
      <c r="H1155" s="27" t="n">
        <v>42</v>
      </c>
      <c r="J1155" s="27">
        <f>SUMPRODUCT(COUNTIFS(확률!$J$2:$J$46, 원본!B1155:G1155, 확률!$M$2:$M$46, "&lt;=20"))</f>
        <v/>
      </c>
      <c r="K1155" s="27">
        <f>SUMPRODUCT(COUNTIFS(확률!$J$2:$J$46, 원본!B1155:G1155, 확률!$M$2:$M$46, "&gt;=36"))</f>
        <v/>
      </c>
      <c r="L1155" s="27">
        <f>6-J1155-K1155</f>
        <v/>
      </c>
    </row>
    <row r="1156" ht="16.5" customHeight="1" s="28">
      <c r="A1156" s="31" t="n">
        <v>1155</v>
      </c>
      <c r="B1156" s="27" t="n">
        <v>9</v>
      </c>
      <c r="C1156" s="27" t="n">
        <v>11</v>
      </c>
      <c r="D1156" s="27" t="n">
        <v>13</v>
      </c>
      <c r="E1156" s="27" t="n">
        <v>30</v>
      </c>
      <c r="F1156" s="27" t="n">
        <v>32</v>
      </c>
      <c r="G1156" s="27" t="n">
        <v>39</v>
      </c>
      <c r="H1156" s="27" t="n">
        <v>42</v>
      </c>
      <c r="J1156" s="27">
        <f>SUMPRODUCT(COUNTIFS(확률!$J$2:$J$46, 원본!B1156:G1156, 확률!$M$2:$M$46, "&lt;=20"))</f>
        <v/>
      </c>
      <c r="K1156" s="27">
        <f>SUMPRODUCT(COUNTIFS(확률!$J$2:$J$46, 원본!B1156:G1156, 확률!$M$2:$M$46, "&gt;=36"))</f>
        <v/>
      </c>
      <c r="L1156" s="27">
        <f>6-J1156-K1156</f>
        <v/>
      </c>
    </row>
    <row r="1157" ht="16.5" customHeight="1" s="28">
      <c r="A1157" s="31" t="n">
        <v>1156</v>
      </c>
      <c r="B1157" s="27" t="n">
        <v>2</v>
      </c>
      <c r="C1157" s="27" t="n">
        <v>8</v>
      </c>
      <c r="D1157" s="27" t="n">
        <v>9</v>
      </c>
      <c r="E1157" s="27" t="n">
        <v>17</v>
      </c>
      <c r="F1157" s="27" t="n">
        <v>30</v>
      </c>
      <c r="G1157" s="27" t="n">
        <v>40</v>
      </c>
      <c r="H1157" s="27" t="n">
        <v>13</v>
      </c>
      <c r="J1157" s="27">
        <f>SUMPRODUCT(COUNTIFS(확률!$J$2:$J$46, 원본!B1157:G1157, 확률!$M$2:$M$46, "&lt;=20"))</f>
        <v/>
      </c>
      <c r="K1157" s="27">
        <f>SUMPRODUCT(COUNTIFS(확률!$J$2:$J$46, 원본!B1157:G1157, 확률!$M$2:$M$46, "&gt;=36"))</f>
        <v/>
      </c>
      <c r="L1157" s="27">
        <f>6-J1157-K1157</f>
        <v/>
      </c>
    </row>
    <row r="1158" ht="16.5" customHeight="1" s="28">
      <c r="A1158" s="31" t="n">
        <v>1157</v>
      </c>
      <c r="B1158" s="27" t="n">
        <v>13</v>
      </c>
      <c r="C1158" s="27" t="n">
        <v>29</v>
      </c>
      <c r="D1158" s="27" t="n">
        <v>33</v>
      </c>
      <c r="E1158" s="27" t="n">
        <v>41</v>
      </c>
      <c r="F1158" s="27" t="n">
        <v>44</v>
      </c>
      <c r="G1158" s="27" t="n">
        <v>45</v>
      </c>
      <c r="H1158" s="27" t="n">
        <v>20</v>
      </c>
      <c r="J1158" s="27">
        <f>SUMPRODUCT(COUNTIFS(확률!$J$2:$J$46, 원본!B1158:G1158, 확률!$M$2:$M$46, "&lt;=20"))</f>
        <v/>
      </c>
      <c r="K1158" s="27">
        <f>SUMPRODUCT(COUNTIFS(확률!$J$2:$J$46, 원본!B1158:G1158, 확률!$M$2:$M$46, "&gt;=36"))</f>
        <v/>
      </c>
      <c r="L1158" s="27">
        <f>6-J1158-K1158</f>
        <v/>
      </c>
    </row>
    <row r="1159" ht="16.5" customHeight="1" s="28">
      <c r="A1159" s="31" t="n">
        <v>1158</v>
      </c>
      <c r="B1159" s="27" t="n">
        <v>5</v>
      </c>
      <c r="C1159" s="27" t="n">
        <v>13</v>
      </c>
      <c r="D1159" s="27" t="n">
        <v>20</v>
      </c>
      <c r="E1159" s="27" t="n">
        <v>29</v>
      </c>
      <c r="F1159" s="27" t="n">
        <v>34</v>
      </c>
      <c r="G1159" s="27" t="n">
        <v>44</v>
      </c>
      <c r="H1159" s="27" t="n">
        <v>14</v>
      </c>
      <c r="J1159" s="27">
        <f>SUMPRODUCT(COUNTIFS(확률!$J$2:$J$46, 원본!B1159:G1159, 확률!$M$2:$M$46, "&lt;=20"))</f>
        <v/>
      </c>
      <c r="K1159" s="27">
        <f>SUMPRODUCT(COUNTIFS(확률!$J$2:$J$46, 원본!B1159:G1159, 확률!$M$2:$M$46, "&gt;=36"))</f>
        <v/>
      </c>
      <c r="L1159" s="27">
        <f>6-J1159-K1159</f>
        <v/>
      </c>
    </row>
    <row r="1160" ht="16.5" customHeight="1" s="28">
      <c r="A1160" s="31" t="n">
        <v>1159</v>
      </c>
      <c r="B1160" s="27" t="n">
        <v>3</v>
      </c>
      <c r="C1160" s="27" t="n">
        <v>5</v>
      </c>
      <c r="D1160" s="27" t="n">
        <v>9</v>
      </c>
      <c r="E1160" s="27" t="n">
        <v>37</v>
      </c>
      <c r="F1160" s="27" t="n">
        <v>42</v>
      </c>
      <c r="G1160" s="27" t="n">
        <v>45</v>
      </c>
      <c r="H1160" s="27" t="n">
        <v>14</v>
      </c>
      <c r="J1160" s="27">
        <f>SUMPRODUCT(COUNTIFS(확률!$J$2:$J$46, 원본!B1160:G1160, 확률!$M$2:$M$46, "&lt;=20"))</f>
        <v/>
      </c>
      <c r="K1160" s="27">
        <f>SUMPRODUCT(COUNTIFS(확률!$J$2:$J$46, 원본!B1160:G1160, 확률!$M$2:$M$46, "&gt;=36"))</f>
        <v/>
      </c>
      <c r="L1160" s="27">
        <f>6-J1160-K1160</f>
        <v/>
      </c>
    </row>
    <row r="1161" ht="16.5" customHeight="1" s="28">
      <c r="A1161" s="31" t="n">
        <v>1160</v>
      </c>
      <c r="B1161" s="27" t="n">
        <v>9</v>
      </c>
      <c r="C1161" s="27" t="n">
        <v>11</v>
      </c>
      <c r="D1161" s="27" t="n">
        <v>13</v>
      </c>
      <c r="E1161" s="27" t="n">
        <v>28</v>
      </c>
      <c r="F1161" s="27" t="n">
        <v>32</v>
      </c>
      <c r="G1161" s="27" t="n">
        <v>39</v>
      </c>
      <c r="H1161" s="27" t="n">
        <v>45</v>
      </c>
      <c r="J1161" s="27">
        <f>SUMPRODUCT(COUNTIFS(확률!$J$2:$J$46, 원본!B1161:G1161, 확률!$M$2:$M$46, "&lt;=20"))</f>
        <v/>
      </c>
      <c r="K1161" s="27">
        <f>SUMPRODUCT(COUNTIFS(확률!$J$2:$J$46, 원본!B1161:G1161, 확률!$M$2:$M$46, "&gt;=36"))</f>
        <v/>
      </c>
      <c r="L1161" s="27">
        <f>6-J1161-K1161</f>
        <v/>
      </c>
    </row>
    <row r="1162" ht="16.5" customHeight="1" s="28">
      <c r="A1162" s="31" t="n">
        <v>1161</v>
      </c>
      <c r="B1162" s="27" t="n">
        <v>1</v>
      </c>
      <c r="C1162" s="27" t="n">
        <v>6</v>
      </c>
      <c r="D1162" s="27" t="n">
        <v>17</v>
      </c>
      <c r="E1162" s="27" t="n">
        <v>21</v>
      </c>
      <c r="F1162" s="27" t="n">
        <v>30</v>
      </c>
      <c r="G1162" s="27" t="n">
        <v>45</v>
      </c>
      <c r="H1162" s="27" t="n">
        <v>28</v>
      </c>
      <c r="J1162" s="27">
        <f>SUMPRODUCT(COUNTIFS(확률!$J$2:$J$46, 원본!B1162:G1162, 확률!$M$2:$M$46, "&lt;=20"))</f>
        <v/>
      </c>
      <c r="K1162" s="27">
        <f>SUMPRODUCT(COUNTIFS(확률!$J$2:$J$46, 원본!B1162:G1162, 확률!$M$2:$M$46, "&gt;=36"))</f>
        <v/>
      </c>
      <c r="L1162" s="27">
        <f>6-J1162-K1162</f>
        <v/>
      </c>
    </row>
    <row r="1163" ht="16.5" customHeight="1" s="28">
      <c r="A1163" s="31" t="n">
        <v>1162</v>
      </c>
      <c r="B1163" s="27" t="n">
        <v>12</v>
      </c>
      <c r="C1163" s="27" t="n">
        <v>14</v>
      </c>
      <c r="D1163" s="27" t="n">
        <v>21</v>
      </c>
      <c r="E1163" s="27" t="n">
        <v>30</v>
      </c>
      <c r="F1163" s="27" t="n">
        <v>40</v>
      </c>
      <c r="G1163" s="27" t="n">
        <v>43</v>
      </c>
      <c r="H1163" s="27" t="n">
        <v>11</v>
      </c>
      <c r="J1163" s="27">
        <f>SUMPRODUCT(COUNTIFS(확률!$J$2:$J$46, 원본!B1163:G1163, 확률!$M$2:$M$46, "&lt;=20"))</f>
        <v/>
      </c>
      <c r="K1163" s="27">
        <f>SUMPRODUCT(COUNTIFS(확률!$J$2:$J$46, 원본!B1163:G1163, 확률!$M$2:$M$46, "&gt;=36"))</f>
        <v/>
      </c>
      <c r="L1163" s="27">
        <f>6-J1163-K1163</f>
        <v/>
      </c>
    </row>
    <row r="1164" ht="16.5" customHeight="1" s="28">
      <c r="A1164" s="31" t="n">
        <v>1163</v>
      </c>
      <c r="B1164" s="27" t="n">
        <v>2</v>
      </c>
      <c r="C1164" s="27" t="n">
        <v>14</v>
      </c>
      <c r="D1164" s="27" t="n">
        <v>17</v>
      </c>
      <c r="E1164" s="27" t="n">
        <v>25</v>
      </c>
      <c r="F1164" s="27" t="n">
        <v>35</v>
      </c>
      <c r="G1164" s="27" t="n">
        <v>41</v>
      </c>
      <c r="H1164" s="27" t="n">
        <v>23</v>
      </c>
      <c r="J1164" s="27">
        <f>SUMPRODUCT(COUNTIFS(확률!$J$2:$J$46, 원본!B1164:G1164, 확률!$M$2:$M$46, "&lt;=20"))</f>
        <v/>
      </c>
      <c r="K1164" s="27">
        <f>SUMPRODUCT(COUNTIFS(확률!$J$2:$J$46, 원본!B1164:G1164, 확률!$M$2:$M$46, "&gt;=36"))</f>
        <v/>
      </c>
      <c r="L1164" s="27">
        <f>6-J1164-K1164</f>
        <v/>
      </c>
    </row>
    <row r="1165" ht="16.5" customHeight="1" s="28">
      <c r="A1165" s="31" t="n">
        <v>1164</v>
      </c>
      <c r="B1165" s="27" t="n">
        <v>9</v>
      </c>
      <c r="C1165" s="27" t="n">
        <v>12</v>
      </c>
      <c r="D1165" s="27" t="n">
        <v>17</v>
      </c>
      <c r="E1165" s="27" t="n">
        <v>32</v>
      </c>
      <c r="F1165" s="27" t="n">
        <v>34</v>
      </c>
      <c r="G1165" s="27" t="n">
        <v>42</v>
      </c>
      <c r="H1165" s="27" t="n">
        <v>25</v>
      </c>
      <c r="J1165" s="27">
        <f>SUMPRODUCT(COUNTIFS(확률!$J$2:$J$46, 원본!B1165:G1165, 확률!$M$2:$M$46, "&lt;=20"))</f>
        <v/>
      </c>
      <c r="K1165" s="27">
        <f>SUMPRODUCT(COUNTIFS(확률!$J$2:$J$46, 원본!B1165:G1165, 확률!$M$2:$M$46, "&gt;=36"))</f>
        <v/>
      </c>
      <c r="L1165" s="27">
        <f>6-J1165-K1165</f>
        <v/>
      </c>
    </row>
    <row r="1166" ht="16.5" customHeight="1" s="28">
      <c r="A1166" s="31" t="n">
        <v>1165</v>
      </c>
      <c r="B1166" s="27" t="n">
        <v>13</v>
      </c>
      <c r="C1166" s="27" t="n">
        <v>22</v>
      </c>
      <c r="D1166" s="27" t="n">
        <v>35</v>
      </c>
      <c r="E1166" s="27" t="n">
        <v>40</v>
      </c>
      <c r="F1166" s="27" t="n">
        <v>42</v>
      </c>
      <c r="G1166" s="27" t="n">
        <v>43</v>
      </c>
      <c r="H1166" s="27" t="n">
        <v>11</v>
      </c>
      <c r="J1166" s="27">
        <f>SUMPRODUCT(COUNTIFS(확률!$J$2:$J$46, 원본!B1166:G1166, 확률!$M$2:$M$46, "&lt;=20"))</f>
        <v/>
      </c>
      <c r="K1166" s="27">
        <f>SUMPRODUCT(COUNTIFS(확률!$J$2:$J$46, 원본!B1166:G1166, 확률!$M$2:$M$46, "&gt;=36"))</f>
        <v/>
      </c>
      <c r="L1166" s="27">
        <f>6-J1166-K1166</f>
        <v/>
      </c>
    </row>
    <row r="1167" ht="16.5" customHeight="1" s="28">
      <c r="A1167" s="31" t="n">
        <v>1166</v>
      </c>
      <c r="B1167" s="27" t="n">
        <v>1</v>
      </c>
      <c r="C1167" s="27" t="n">
        <v>9</v>
      </c>
      <c r="D1167" s="27" t="n">
        <v>12</v>
      </c>
      <c r="E1167" s="27" t="n">
        <v>27</v>
      </c>
      <c r="F1167" s="27" t="n">
        <v>32</v>
      </c>
      <c r="G1167" s="27" t="n">
        <v>34</v>
      </c>
      <c r="H1167" s="27" t="n">
        <v>25</v>
      </c>
      <c r="J1167" s="27">
        <f>SUMPRODUCT(COUNTIFS(확률!$J$2:$J$46, 원본!B1167:G1167, 확률!$M$2:$M$46, "&lt;=20"))</f>
        <v/>
      </c>
      <c r="K1167" s="27">
        <f>SUMPRODUCT(COUNTIFS(확률!$J$2:$J$46, 원본!B1167:G1167, 확률!$M$2:$M$46, "&gt;=36"))</f>
        <v/>
      </c>
      <c r="L1167" s="27">
        <f>6-J1167-K1167</f>
        <v/>
      </c>
    </row>
    <row r="1168" ht="16.5" customHeight="1" s="28">
      <c r="A1168" s="31" t="n">
        <v>1167</v>
      </c>
      <c r="B1168" s="27" t="n">
        <v>6</v>
      </c>
      <c r="C1168" s="27" t="n">
        <v>11</v>
      </c>
      <c r="D1168" s="27" t="n">
        <v>13</v>
      </c>
      <c r="E1168" s="27" t="n">
        <v>20</v>
      </c>
      <c r="F1168" s="27" t="n">
        <v>29</v>
      </c>
      <c r="G1168" s="27" t="n">
        <v>39</v>
      </c>
      <c r="H1168" s="27" t="n">
        <v>17</v>
      </c>
      <c r="J1168" s="27">
        <f>SUMPRODUCT(COUNTIFS(확률!$J$2:$J$46, 원본!B1168:G1168, 확률!$M$2:$M$46, "&lt;=20"))</f>
        <v/>
      </c>
      <c r="K1168" s="27">
        <f>SUMPRODUCT(COUNTIFS(확률!$J$2:$J$46, 원본!B1168:G1168, 확률!$M$2:$M$46, "&gt;=36"))</f>
        <v/>
      </c>
      <c r="L1168" s="27">
        <f>6-J1168-K1168</f>
        <v/>
      </c>
    </row>
    <row r="1169" ht="16.5" customHeight="1" s="28">
      <c r="A1169" s="31" t="n">
        <v>1168</v>
      </c>
      <c r="B1169" s="27" t="n">
        <v>13</v>
      </c>
      <c r="C1169" s="27" t="n">
        <v>20</v>
      </c>
      <c r="D1169" s="27" t="n">
        <v>26</v>
      </c>
      <c r="E1169" s="27" t="n">
        <v>29</v>
      </c>
      <c r="F1169" s="27" t="n">
        <v>42</v>
      </c>
      <c r="G1169" s="27" t="n">
        <v>43</v>
      </c>
      <c r="H1169" s="27" t="n">
        <v>14</v>
      </c>
      <c r="J1169" s="27">
        <f>SUMPRODUCT(COUNTIFS(확률!$J$2:$J$46, 원본!B1169:G1169, 확률!$M$2:$M$46, "&lt;=20"))</f>
        <v/>
      </c>
      <c r="K1169" s="27">
        <f>SUMPRODUCT(COUNTIFS(확률!$J$2:$J$46, 원본!B1169:G1169, 확률!$M$2:$M$46, "&gt;=36"))</f>
        <v/>
      </c>
      <c r="L1169" s="27">
        <f>6-J1169-K1169</f>
        <v/>
      </c>
    </row>
    <row r="1170" ht="16.5" customHeight="1" s="28">
      <c r="A1170" s="31" t="n">
        <v>1169</v>
      </c>
      <c r="B1170" s="27" t="n">
        <v>6</v>
      </c>
      <c r="C1170" s="27" t="n">
        <v>22</v>
      </c>
      <c r="D1170" s="27" t="n">
        <v>24</v>
      </c>
      <c r="E1170" s="27" t="n">
        <v>25</v>
      </c>
      <c r="F1170" s="27" t="n">
        <v>40</v>
      </c>
      <c r="G1170" s="27" t="n">
        <v>45</v>
      </c>
      <c r="H1170" s="27" t="n">
        <v>33</v>
      </c>
      <c r="J1170" s="27">
        <f>SUMPRODUCT(COUNTIFS(확률!$J$2:$J$46, 원본!B1170:G1170, 확률!$M$2:$M$46, "&lt;=20"))</f>
        <v/>
      </c>
      <c r="K1170" s="27">
        <f>SUMPRODUCT(COUNTIFS(확률!$J$2:$J$46, 원본!B1170:G1170, 확률!$M$2:$M$46, "&gt;=36"))</f>
        <v/>
      </c>
      <c r="L1170" s="27">
        <f>6-J1170-K1170</f>
        <v/>
      </c>
    </row>
    <row r="1171" ht="16.5" customHeight="1" s="28">
      <c r="A1171" s="31" t="n">
        <v>1170</v>
      </c>
      <c r="B1171" s="27" t="n">
        <v>18</v>
      </c>
      <c r="C1171" s="27" t="n">
        <v>22</v>
      </c>
      <c r="D1171" s="27" t="n">
        <v>28</v>
      </c>
      <c r="E1171" s="27" t="n">
        <v>30</v>
      </c>
      <c r="F1171" s="27" t="n">
        <v>33</v>
      </c>
      <c r="G1171" s="27" t="n">
        <v>40</v>
      </c>
      <c r="H1171" s="27" t="n">
        <v>13</v>
      </c>
      <c r="J1171" s="27">
        <f>SUMPRODUCT(COUNTIFS(확률!$J$2:$J$46, 원본!B1171:G1171, 확률!$M$2:$M$46, "&lt;=20"))</f>
        <v/>
      </c>
      <c r="K1171" s="27">
        <f>SUMPRODUCT(COUNTIFS(확률!$J$2:$J$46, 원본!B1171:G1171, 확률!$M$2:$M$46, "&gt;=36"))</f>
        <v/>
      </c>
      <c r="L1171" s="27">
        <f>6-J1171-K1171</f>
        <v/>
      </c>
    </row>
    <row r="1172" ht="16.5" customHeight="1" s="28">
      <c r="A1172" s="31" t="n">
        <v>1171</v>
      </c>
      <c r="B1172" s="27" t="n">
        <v>18</v>
      </c>
      <c r="C1172" s="27" t="n">
        <v>22</v>
      </c>
      <c r="D1172" s="27" t="n">
        <v>28</v>
      </c>
      <c r="E1172" s="27" t="n">
        <v>32</v>
      </c>
      <c r="F1172" s="27" t="n">
        <v>33</v>
      </c>
      <c r="G1172" s="27" t="n">
        <v>34</v>
      </c>
      <c r="H1172" s="27" t="n">
        <v>13</v>
      </c>
      <c r="J1172" s="27">
        <f>SUMPRODUCT(COUNTIFS(확률!$J$2:$J$46, 원본!B1172:G1172, 확률!$M$2:$M$46, "&lt;=20"))</f>
        <v/>
      </c>
      <c r="K1172" s="27">
        <f>SUMPRODUCT(COUNTIFS(확률!$J$2:$J$46, 원본!B1172:G1172, 확률!$M$2:$M$46, "&gt;=36"))</f>
        <v/>
      </c>
      <c r="L1172" s="27">
        <f>6-J1172-K1172</f>
        <v/>
      </c>
    </row>
    <row r="1173" ht="16.5" customHeight="1" s="28">
      <c r="A1173" s="31" t="n">
        <v>1172</v>
      </c>
      <c r="B1173" s="27" t="n">
        <v>1</v>
      </c>
      <c r="C1173" s="27" t="n">
        <v>7</v>
      </c>
      <c r="D1173" s="27" t="n">
        <v>14</v>
      </c>
      <c r="E1173" s="27" t="n">
        <v>18</v>
      </c>
      <c r="F1173" s="27" t="n">
        <v>30</v>
      </c>
      <c r="G1173" s="27" t="n">
        <v>35</v>
      </c>
      <c r="H1173" s="27" t="n">
        <v>22</v>
      </c>
      <c r="J1173" s="27">
        <f>SUMPRODUCT(COUNTIFS(확률!$J$2:$J$46, 원본!B1173:G1173, 확률!$M$2:$M$46, "&lt;=20"))</f>
        <v/>
      </c>
      <c r="K1173" s="27">
        <f>SUMPRODUCT(COUNTIFS(확률!$J$2:$J$46, 원본!B1173:G1173, 확률!$M$2:$M$46, "&gt;=36"))</f>
        <v/>
      </c>
      <c r="L1173" s="27">
        <f>6-J1173-K1173</f>
        <v/>
      </c>
    </row>
    <row r="1174" ht="16.5" customHeight="1" s="28">
      <c r="A1174" s="31" t="n">
        <v>1173</v>
      </c>
      <c r="B1174" s="27" t="n">
        <v>6</v>
      </c>
      <c r="C1174" s="27" t="n">
        <v>18</v>
      </c>
      <c r="D1174" s="27" t="n">
        <v>22</v>
      </c>
      <c r="E1174" s="27" t="n">
        <v>26</v>
      </c>
      <c r="F1174" s="27" t="n">
        <v>33</v>
      </c>
      <c r="G1174" s="27" t="n">
        <v>34</v>
      </c>
      <c r="H1174" s="27" t="n">
        <v>40</v>
      </c>
      <c r="J1174" s="27">
        <f>SUMPRODUCT(COUNTIFS(확률!$J$2:$J$46, 원본!B1174:G1174, 확률!$M$2:$M$46, "&lt;=20"))</f>
        <v/>
      </c>
      <c r="K1174" s="27">
        <f>SUMPRODUCT(COUNTIFS(확률!$J$2:$J$46, 원본!B1174:G1174, 확률!$M$2:$M$46, "&gt;=36"))</f>
        <v/>
      </c>
      <c r="L1174" s="27">
        <f>6-J1174-K1174</f>
        <v/>
      </c>
    </row>
    <row r="1175" ht="16.5" customHeight="1" s="28">
      <c r="A1175" s="31" t="n">
        <v>1174</v>
      </c>
      <c r="B1175" s="27" t="n">
        <v>2</v>
      </c>
      <c r="C1175" s="27" t="n">
        <v>17</v>
      </c>
      <c r="D1175" s="27" t="n">
        <v>28</v>
      </c>
      <c r="E1175" s="27" t="n">
        <v>34</v>
      </c>
      <c r="F1175" s="27" t="n">
        <v>37</v>
      </c>
      <c r="G1175" s="27" t="n">
        <v>39</v>
      </c>
      <c r="H1175" s="27" t="n">
        <v>18</v>
      </c>
      <c r="J1175" s="27">
        <f>SUMPRODUCT(COUNTIFS(확률!$J$2:$J$46, 원본!B1175:G1175, 확률!$M$2:$M$46, "&lt;=20"))</f>
        <v/>
      </c>
      <c r="K1175" s="27">
        <f>SUMPRODUCT(COUNTIFS(확률!$J$2:$J$46, 원본!B1175:G1175, 확률!$M$2:$M$46, "&gt;=36"))</f>
        <v/>
      </c>
      <c r="L1175" s="27">
        <f>6-J1175-K1175</f>
        <v/>
      </c>
    </row>
    <row r="1176" ht="16.5" customHeight="1" s="28">
      <c r="A1176" s="31" t="n">
        <v>1175</v>
      </c>
      <c r="B1176" s="27" t="n">
        <v>5</v>
      </c>
      <c r="C1176" s="27" t="n">
        <v>27</v>
      </c>
      <c r="D1176" s="27" t="n">
        <v>28</v>
      </c>
      <c r="E1176" s="27" t="n">
        <v>37</v>
      </c>
      <c r="F1176" s="27" t="n">
        <v>39</v>
      </c>
      <c r="G1176" s="27" t="n">
        <v>40</v>
      </c>
      <c r="H1176" s="27" t="n">
        <v>33</v>
      </c>
      <c r="J1176" s="27">
        <f>SUMPRODUCT(COUNTIFS(확률!$J$2:$J$46, 원본!B1176:G1176, 확률!$M$2:$M$46, "&lt;=20"))</f>
        <v/>
      </c>
      <c r="K1176" s="27">
        <f>SUMPRODUCT(COUNTIFS(확률!$J$2:$J$46, 원본!B1176:G1176, 확률!$M$2:$M$46, "&gt;=36"))</f>
        <v/>
      </c>
      <c r="L1176" s="27">
        <f>6-J1176-K1176</f>
        <v/>
      </c>
    </row>
    <row r="1177" ht="16.5" customHeight="1" s="28">
      <c r="A1177" s="31" t="n">
        <v>1176</v>
      </c>
      <c r="B1177" s="27" t="n">
        <v>20</v>
      </c>
      <c r="C1177" s="27" t="n">
        <v>23</v>
      </c>
      <c r="D1177" s="27" t="n">
        <v>30</v>
      </c>
      <c r="E1177" s="27" t="n">
        <v>32</v>
      </c>
      <c r="F1177" s="27" t="n">
        <v>37</v>
      </c>
      <c r="G1177" s="27" t="n">
        <v>39</v>
      </c>
      <c r="H1177" s="27" t="n">
        <v>18</v>
      </c>
      <c r="J1177" s="27">
        <f>SUMPRODUCT(COUNTIFS(확률!$J$2:$J$46, 원본!B1177:G1177, 확률!$M$2:$M$46, "&lt;=20"))</f>
        <v/>
      </c>
      <c r="K1177" s="27">
        <f>SUMPRODUCT(COUNTIFS(확률!$J$2:$J$46, 원본!B1177:G1177, 확률!$M$2:$M$46, "&gt;=36"))</f>
        <v/>
      </c>
      <c r="L1177" s="27">
        <f>6-J1177-K1177</f>
        <v/>
      </c>
    </row>
    <row r="1178" ht="16.5" customHeight="1" s="28">
      <c r="A1178" s="31" t="n">
        <v>1177</v>
      </c>
      <c r="B1178" s="27" t="n">
        <v>5</v>
      </c>
      <c r="C1178" s="27" t="n">
        <v>11</v>
      </c>
      <c r="D1178" s="27" t="n">
        <v>13</v>
      </c>
      <c r="E1178" s="27" t="n">
        <v>14</v>
      </c>
      <c r="F1178" s="27" t="n">
        <v>23</v>
      </c>
      <c r="G1178" s="27" t="n">
        <v>41</v>
      </c>
      <c r="H1178" s="27" t="n">
        <v>6</v>
      </c>
      <c r="J1178" s="27">
        <f>SUMPRODUCT(COUNTIFS(확률!$J$2:$J$46, 원본!B1178:G1178, 확률!$M$2:$M$46, "&lt;=20"))</f>
        <v/>
      </c>
      <c r="K1178" s="27">
        <f>SUMPRODUCT(COUNTIFS(확률!$J$2:$J$46, 원본!B1178:G1178, 확률!$M$2:$M$46, "&gt;=36"))</f>
        <v/>
      </c>
      <c r="L1178" s="27">
        <f>6-J1178-K1178</f>
        <v/>
      </c>
    </row>
    <row r="1179" ht="16.5" customHeight="1" s="28">
      <c r="A1179" s="31" t="n">
        <v>1178</v>
      </c>
      <c r="B1179" s="27" t="n">
        <v>3</v>
      </c>
      <c r="C1179" s="27" t="n">
        <v>9</v>
      </c>
      <c r="D1179" s="27" t="n">
        <v>11</v>
      </c>
      <c r="E1179" s="27" t="n">
        <v>17</v>
      </c>
      <c r="F1179" s="27" t="n">
        <v>28</v>
      </c>
      <c r="G1179" s="27" t="n">
        <v>34</v>
      </c>
      <c r="H1179" s="27" t="n">
        <v>6</v>
      </c>
      <c r="J1179" s="27">
        <f>SUMPRODUCT(COUNTIFS(확률!$J$2:$J$46, 원본!B1179:G1179, 확률!$M$2:$M$46, "&lt;=20"))</f>
        <v/>
      </c>
      <c r="K1179" s="27">
        <f>SUMPRODUCT(COUNTIFS(확률!$J$2:$J$46, 원본!B1179:G1179, 확률!$M$2:$M$46, "&gt;=36"))</f>
        <v/>
      </c>
      <c r="L1179" s="27">
        <f>6-J1179-K1179</f>
        <v/>
      </c>
    </row>
    <row r="1180" ht="16.5" customHeight="1" s="28">
      <c r="A1180" s="31" t="n">
        <v>1179</v>
      </c>
      <c r="B1180" s="27" t="n">
        <v>1</v>
      </c>
      <c r="C1180" s="27" t="n">
        <v>6</v>
      </c>
      <c r="D1180" s="27" t="n">
        <v>8</v>
      </c>
      <c r="E1180" s="27" t="n">
        <v>28</v>
      </c>
      <c r="F1180" s="27" t="n">
        <v>34</v>
      </c>
      <c r="G1180" s="27" t="n">
        <v>37</v>
      </c>
      <c r="H1180" s="27" t="n">
        <v>14</v>
      </c>
      <c r="J1180" s="27">
        <f>SUMPRODUCT(COUNTIFS(확률!$J$2:$J$46, 원본!B1180:G1180, 확률!$M$2:$M$46, "&lt;=20"))</f>
        <v/>
      </c>
      <c r="K1180" s="27">
        <f>SUMPRODUCT(COUNTIFS(확률!$J$2:$J$46, 원본!B1180:G1180, 확률!$M$2:$M$46, "&gt;=36"))</f>
        <v/>
      </c>
      <c r="L1180" s="27">
        <f>6-J1180-K1180</f>
        <v/>
      </c>
    </row>
    <row r="1181" ht="16.5" customHeight="1" s="28">
      <c r="A1181" s="31" t="n">
        <v>1180</v>
      </c>
      <c r="B1181" s="27" t="n">
        <v>1</v>
      </c>
      <c r="C1181" s="27" t="n">
        <v>8</v>
      </c>
      <c r="D1181" s="27" t="n">
        <v>22</v>
      </c>
      <c r="E1181" s="27" t="n">
        <v>30</v>
      </c>
      <c r="F1181" s="27" t="n">
        <v>39</v>
      </c>
      <c r="G1181" s="27" t="n">
        <v>42</v>
      </c>
      <c r="H1181" s="27" t="n">
        <v>23</v>
      </c>
      <c r="J1181" s="27">
        <f>SUMPRODUCT(COUNTIFS(확률!$J$2:$J$46, 원본!B1181:G1181, 확률!$M$2:$M$46, "&lt;=20"))</f>
        <v/>
      </c>
      <c r="K1181" s="27">
        <f>SUMPRODUCT(COUNTIFS(확률!$J$2:$J$46, 원본!B1181:G1181, 확률!$M$2:$M$46, "&gt;=36"))</f>
        <v/>
      </c>
      <c r="L1181" s="27">
        <f>6-J1181-K1181</f>
        <v/>
      </c>
    </row>
    <row r="1182" ht="16.5" customHeight="1" s="28">
      <c r="A1182" s="31" t="n">
        <v>1181</v>
      </c>
      <c r="B1182" s="27" t="n">
        <v>9</v>
      </c>
      <c r="C1182" s="27" t="n">
        <v>20</v>
      </c>
      <c r="D1182" s="27" t="n">
        <v>29</v>
      </c>
      <c r="E1182" s="27" t="n">
        <v>30</v>
      </c>
      <c r="F1182" s="27" t="n">
        <v>34</v>
      </c>
      <c r="G1182" s="27" t="n">
        <v>40</v>
      </c>
      <c r="H1182" s="27" t="n">
        <v>37</v>
      </c>
      <c r="J1182" s="27">
        <f>SUMPRODUCT(COUNTIFS(확률!$J$2:$J$46, 원본!B1182:G1182, 확률!$M$2:$M$46, "&lt;=20"))</f>
        <v/>
      </c>
      <c r="K1182" s="27">
        <f>SUMPRODUCT(COUNTIFS(확률!$J$2:$J$46, 원본!B1182:G1182, 확률!$M$2:$M$46, "&gt;=36"))</f>
        <v/>
      </c>
      <c r="L1182" s="27">
        <f>6-J1182-K1182</f>
        <v/>
      </c>
    </row>
    <row r="1183" ht="16.5" customHeight="1" s="28">
      <c r="A1183" s="31" t="n">
        <v>1182</v>
      </c>
      <c r="B1183" s="27" t="n">
        <v>14</v>
      </c>
      <c r="C1183" s="27" t="n">
        <v>20</v>
      </c>
      <c r="D1183" s="27" t="n">
        <v>23</v>
      </c>
      <c r="E1183" s="27" t="n">
        <v>35</v>
      </c>
      <c r="F1183" s="27" t="n">
        <v>41</v>
      </c>
      <c r="G1183" s="27" t="n">
        <v>45</v>
      </c>
      <c r="H1183" s="27" t="n">
        <v>37</v>
      </c>
      <c r="J1183" s="27">
        <f>SUMPRODUCT(COUNTIFS(확률!$J$2:$J$46, 원본!B1183:G1183, 확률!$M$2:$M$46, "&lt;=20"))</f>
        <v/>
      </c>
      <c r="K1183" s="27">
        <f>SUMPRODUCT(COUNTIFS(확률!$J$2:$J$46, 원본!B1183:G1183, 확률!$M$2:$M$46, "&gt;=36"))</f>
        <v/>
      </c>
      <c r="L1183" s="27">
        <f>6-J1183-K1183</f>
        <v/>
      </c>
    </row>
    <row r="1184" ht="16.5" customHeight="1" s="28">
      <c r="A1184" s="31" t="n">
        <v>1183</v>
      </c>
      <c r="B1184" s="27" t="n">
        <v>9</v>
      </c>
      <c r="C1184" s="27" t="n">
        <v>25</v>
      </c>
      <c r="D1184" s="27" t="n">
        <v>29</v>
      </c>
      <c r="E1184" s="27" t="n">
        <v>35</v>
      </c>
      <c r="F1184" s="27" t="n">
        <v>37</v>
      </c>
      <c r="G1184" s="27" t="n">
        <v>40</v>
      </c>
      <c r="H1184" s="27" t="n">
        <v>1</v>
      </c>
      <c r="J1184" s="27">
        <f>SUMPRODUCT(COUNTIFS(확률!$J$2:$J$46, 원본!B1184:G1184, 확률!$M$2:$M$46, "&lt;=20"))</f>
        <v/>
      </c>
      <c r="K1184" s="27">
        <f>SUMPRODUCT(COUNTIFS(확률!$J$2:$J$46, 원본!B1184:G1184, 확률!$M$2:$M$46, "&gt;=36"))</f>
        <v/>
      </c>
      <c r="L1184" s="27">
        <f>6-J1184-K1184</f>
        <v/>
      </c>
    </row>
    <row r="1185" ht="16.5" customHeight="1" s="28">
      <c r="A1185" s="31" t="n">
        <v>1184</v>
      </c>
      <c r="B1185" s="27" t="n">
        <v>11</v>
      </c>
      <c r="C1185" s="27" t="n">
        <v>13</v>
      </c>
      <c r="D1185" s="27" t="n">
        <v>25</v>
      </c>
      <c r="E1185" s="27" t="n">
        <v>33</v>
      </c>
      <c r="F1185" s="27" t="n">
        <v>35</v>
      </c>
      <c r="G1185" s="27" t="n">
        <v>42</v>
      </c>
      <c r="H1185" s="27" t="n">
        <v>20</v>
      </c>
      <c r="J1185" s="27">
        <f>SUMPRODUCT(COUNTIFS(확률!$J$2:$J$46, 원본!B1185:G1185, 확률!$M$2:$M$46, "&lt;=20"))</f>
        <v/>
      </c>
      <c r="K1185" s="27">
        <f>SUMPRODUCT(COUNTIFS(확률!$J$2:$J$46, 원본!B1185:G1185, 확률!$M$2:$M$46, "&gt;=36"))</f>
        <v/>
      </c>
      <c r="L1185" s="27">
        <f>6-J1185-K1185</f>
        <v/>
      </c>
    </row>
    <row r="1186" ht="16.5" customHeight="1" s="28">
      <c r="A1186" s="31" t="n">
        <v>1185</v>
      </c>
      <c r="B1186" s="27" t="n">
        <v>6</v>
      </c>
      <c r="C1186" s="27" t="n">
        <v>17</v>
      </c>
      <c r="D1186" s="27" t="n">
        <v>20</v>
      </c>
      <c r="E1186" s="27" t="n">
        <v>21</v>
      </c>
      <c r="F1186" s="27" t="n">
        <v>32</v>
      </c>
      <c r="G1186" s="27" t="n">
        <v>45</v>
      </c>
      <c r="H1186" s="27" t="n">
        <v>14</v>
      </c>
      <c r="J1186" s="27">
        <f>SUMPRODUCT(COUNTIFS(확률!$J$2:$J$46, 원본!B1186:G1186, 확률!$M$2:$M$46, "&lt;=20"))</f>
        <v/>
      </c>
      <c r="K1186" s="27">
        <f>SUMPRODUCT(COUNTIFS(확률!$J$2:$J$46, 원본!B1186:G1186, 확률!$M$2:$M$46, "&gt;=36"))</f>
        <v/>
      </c>
      <c r="L1186" s="27">
        <f>6-J1186-K1186</f>
        <v/>
      </c>
    </row>
    <row r="1187" ht="16.5" customHeight="1" s="28">
      <c r="A1187" s="31" t="n">
        <v>1186</v>
      </c>
      <c r="B1187" s="27" t="n">
        <v>13</v>
      </c>
      <c r="C1187" s="27" t="n">
        <v>14</v>
      </c>
      <c r="D1187" s="27" t="n">
        <v>18</v>
      </c>
      <c r="E1187" s="27" t="n">
        <v>20</v>
      </c>
      <c r="F1187" s="27" t="n">
        <v>28</v>
      </c>
      <c r="G1187" s="27" t="n">
        <v>30</v>
      </c>
      <c r="H1187" s="27" t="n">
        <v>35</v>
      </c>
      <c r="J1187" s="27">
        <f>SUMPRODUCT(COUNTIFS(확률!$J$2:$J$46, 원본!B1187:G1187, 확률!$M$2:$M$46, "&lt;=20"))</f>
        <v/>
      </c>
      <c r="K1187" s="27">
        <f>SUMPRODUCT(COUNTIFS(확률!$J$2:$J$46, 원본!B1187:G1187, 확률!$M$2:$M$46, "&gt;=36"))</f>
        <v/>
      </c>
      <c r="L1187" s="27">
        <f>6-J1187-K1187</f>
        <v/>
      </c>
    </row>
    <row r="1188" ht="16.5" customHeight="1" s="28">
      <c r="A1188" s="31" t="n">
        <v>1187</v>
      </c>
      <c r="B1188" s="27" t="n">
        <v>6</v>
      </c>
      <c r="C1188" s="27" t="n">
        <v>14</v>
      </c>
      <c r="D1188" s="27" t="n">
        <v>17</v>
      </c>
      <c r="E1188" s="27" t="n">
        <v>21</v>
      </c>
      <c r="F1188" s="27" t="n">
        <v>35</v>
      </c>
      <c r="G1188" s="27" t="n">
        <v>40</v>
      </c>
      <c r="H1188" s="27" t="n">
        <v>23</v>
      </c>
      <c r="J1188" s="27">
        <f>SUMPRODUCT(COUNTIFS(확률!$J$2:$J$46, 원본!B1188:G1188, 확률!$M$2:$M$46, "&lt;=20"))</f>
        <v/>
      </c>
      <c r="K1188" s="27">
        <f>SUMPRODUCT(COUNTIFS(확률!$J$2:$J$46, 원본!B1188:G1188, 확률!$M$2:$M$46, "&gt;=36"))</f>
        <v/>
      </c>
      <c r="L1188" s="27">
        <f>6-J1188-K1188</f>
        <v/>
      </c>
    </row>
    <row r="1189" ht="16.5" customHeight="1" s="28">
      <c r="A1189" s="31" t="n">
        <v>1188</v>
      </c>
      <c r="B1189" s="27" t="n">
        <v>1</v>
      </c>
      <c r="C1189" s="27" t="n">
        <v>5</v>
      </c>
      <c r="D1189" s="27" t="n">
        <v>6</v>
      </c>
      <c r="E1189" s="27" t="n">
        <v>18</v>
      </c>
      <c r="F1189" s="27" t="n">
        <v>23</v>
      </c>
      <c r="G1189" s="27" t="n">
        <v>35</v>
      </c>
      <c r="H1189" s="27" t="n">
        <v>14</v>
      </c>
      <c r="J1189" s="27">
        <f>SUMPRODUCT(COUNTIFS(확률!$J$2:$J$46, 원본!B1189:G1189, 확률!$M$2:$M$46, "&lt;=20"))</f>
        <v/>
      </c>
      <c r="K1189" s="27">
        <f>SUMPRODUCT(COUNTIFS(확률!$J$2:$J$46, 원본!B1189:G1189, 확률!$M$2:$M$46, "&gt;=36"))</f>
        <v/>
      </c>
      <c r="L1189" s="27">
        <f>6-J1189-K1189</f>
        <v/>
      </c>
    </row>
    <row r="1190" ht="16.5" customHeight="1" s="28">
      <c r="A1190" s="31" t="n">
        <v>1189</v>
      </c>
      <c r="B1190" s="27" t="n">
        <v>1</v>
      </c>
      <c r="C1190" s="27" t="n">
        <v>12</v>
      </c>
      <c r="D1190" s="27" t="n">
        <v>18</v>
      </c>
      <c r="E1190" s="27" t="n">
        <v>21</v>
      </c>
      <c r="F1190" s="27" t="n">
        <v>30</v>
      </c>
      <c r="G1190" s="27" t="n">
        <v>37</v>
      </c>
      <c r="H1190" s="27" t="n">
        <v>42</v>
      </c>
      <c r="J1190" s="27">
        <f>SUMPRODUCT(COUNTIFS(확률!$J$2:$J$46, 원본!B1190:G1190, 확률!$M$2:$M$46, "&lt;=20"))</f>
        <v/>
      </c>
      <c r="K1190" s="27">
        <f>SUMPRODUCT(COUNTIFS(확률!$J$2:$J$46, 원본!B1190:G1190, 확률!$M$2:$M$46, "&gt;=36"))</f>
        <v/>
      </c>
      <c r="L1190" s="27">
        <f>6-J1190-K1190</f>
        <v/>
      </c>
    </row>
    <row r="1191" ht="16.5" customHeight="1" s="28">
      <c r="A1191" s="31" t="n">
        <v>1190</v>
      </c>
      <c r="B1191" s="27" t="n">
        <v>10</v>
      </c>
      <c r="C1191" s="27" t="n">
        <v>13</v>
      </c>
      <c r="D1191" s="27" t="n">
        <v>22</v>
      </c>
      <c r="E1191" s="27" t="n">
        <v>23</v>
      </c>
      <c r="F1191" s="27" t="n">
        <v>34</v>
      </c>
      <c r="G1191" s="27" t="n">
        <v>41</v>
      </c>
      <c r="H1191" s="27" t="n">
        <v>11</v>
      </c>
      <c r="J1191" s="27">
        <f>SUMPRODUCT(COUNTIFS(확률!$J$2:$J$46, 원본!B1191:G1191, 확률!$M$2:$M$46, "&lt;=20"))</f>
        <v/>
      </c>
      <c r="K1191" s="27">
        <f>SUMPRODUCT(COUNTIFS(확률!$J$2:$J$46, 원본!B1191:G1191, 확률!$M$2:$M$46, "&gt;=36"))</f>
        <v/>
      </c>
      <c r="L1191" s="27">
        <f>6-J1191-K1191</f>
        <v/>
      </c>
    </row>
    <row r="1192" ht="16.5" customHeight="1" s="28">
      <c r="A1192" s="31" t="n">
        <v>1191</v>
      </c>
      <c r="B1192" s="27" t="n">
        <v>2</v>
      </c>
      <c r="C1192" s="27" t="n">
        <v>7</v>
      </c>
      <c r="D1192" s="27" t="n">
        <v>14</v>
      </c>
      <c r="E1192" s="27" t="n">
        <v>21</v>
      </c>
      <c r="F1192" s="27" t="n">
        <v>25</v>
      </c>
      <c r="G1192" s="27" t="n">
        <v>40</v>
      </c>
      <c r="H1192" s="27" t="n">
        <v>17</v>
      </c>
      <c r="J1192" s="27">
        <f>SUMPRODUCT(COUNTIFS(확률!$J$2:$J$46, 원본!B1192:G1192, 확률!$M$2:$M$46, "&lt;=20"))</f>
        <v/>
      </c>
      <c r="K1192" s="27">
        <f>SUMPRODUCT(COUNTIFS(확률!$J$2:$J$46, 원본!B1192:G1192, 확률!$M$2:$M$46, "&gt;=36"))</f>
        <v/>
      </c>
      <c r="L1192" s="27">
        <f>6-J1192-K1192</f>
        <v/>
      </c>
    </row>
    <row r="1193" ht="16.5" customHeight="1" s="28">
      <c r="A1193" s="31" t="n">
        <v>1192</v>
      </c>
      <c r="B1193" s="27" t="n">
        <v>6</v>
      </c>
      <c r="C1193" s="27" t="n">
        <v>12</v>
      </c>
      <c r="D1193" s="27" t="n">
        <v>19</v>
      </c>
      <c r="E1193" s="27" t="n">
        <v>21</v>
      </c>
      <c r="F1193" s="27" t="n">
        <v>22</v>
      </c>
      <c r="G1193" s="27" t="n">
        <v>30</v>
      </c>
      <c r="H1193" s="27" t="n">
        <v>43</v>
      </c>
      <c r="J1193" s="27">
        <f>SUMPRODUCT(COUNTIFS(확률!$J$2:$J$46, 원본!B1193:G1193, 확률!$M$2:$M$46, "&lt;=20"))</f>
        <v/>
      </c>
      <c r="K1193" s="27">
        <f>SUMPRODUCT(COUNTIFS(확률!$J$2:$J$46, 원본!B1193:G1193, 확률!$M$2:$M$46, "&gt;=36"))</f>
        <v/>
      </c>
      <c r="L1193" s="27">
        <f>6-J1193-K1193</f>
        <v/>
      </c>
    </row>
    <row r="1194" ht="16.5" customHeight="1" s="28">
      <c r="A1194" s="31" t="n">
        <v>1193</v>
      </c>
      <c r="B1194" s="27" t="n">
        <v>3</v>
      </c>
      <c r="C1194" s="27" t="n">
        <v>4</v>
      </c>
      <c r="D1194" s="27" t="n">
        <v>7</v>
      </c>
      <c r="E1194" s="27" t="n">
        <v>15</v>
      </c>
      <c r="F1194" s="27" t="n">
        <v>22</v>
      </c>
      <c r="G1194" s="27" t="n">
        <v>35</v>
      </c>
      <c r="H1194" s="27" t="n">
        <v>18</v>
      </c>
      <c r="J1194" s="27">
        <f>SUMPRODUCT(COUNTIFS(확률!$J$2:$J$46, 원본!B1194:G1194, 확률!$M$2:$M$46, "&lt;=20"))</f>
        <v/>
      </c>
      <c r="K1194" s="27">
        <f>SUMPRODUCT(COUNTIFS(확률!$J$2:$J$46, 원본!B1194:G1194, 확률!$M$2:$M$46, "&gt;=36"))</f>
        <v/>
      </c>
      <c r="L1194" s="27">
        <f>6-J1194-K1194</f>
        <v/>
      </c>
    </row>
    <row r="1195" ht="16.5" customHeight="1" s="28">
      <c r="A1195" s="31" t="n">
        <v>1194</v>
      </c>
      <c r="B1195" s="27" t="n">
        <v>1</v>
      </c>
      <c r="C1195" s="27" t="n">
        <v>11</v>
      </c>
      <c r="D1195" s="27" t="n">
        <v>24</v>
      </c>
      <c r="E1195" s="27" t="n">
        <v>33</v>
      </c>
      <c r="F1195" s="27" t="n">
        <v>40</v>
      </c>
      <c r="G1195" s="27" t="n">
        <v>42</v>
      </c>
      <c r="H1195" s="27" t="n">
        <v>35</v>
      </c>
      <c r="J1195" s="27">
        <f>SUMPRODUCT(COUNTIFS(확률!$J$2:$J$46, 원본!B1195:G1195, 확률!$M$2:$M$46, "&lt;=20"))</f>
        <v/>
      </c>
      <c r="K1195" s="27">
        <f>SUMPRODUCT(COUNTIFS(확률!$J$2:$J$46, 원본!B1195:G1195, 확률!$M$2:$M$46, "&gt;=36"))</f>
        <v/>
      </c>
      <c r="L1195" s="27">
        <f>6-J1195-K1195</f>
        <v/>
      </c>
    </row>
    <row r="1196" ht="16.5" customHeight="1" s="28">
      <c r="A1196" s="31" t="n">
        <v>1195</v>
      </c>
      <c r="B1196" s="27" t="n">
        <v>10</v>
      </c>
      <c r="C1196" s="27" t="n">
        <v>11</v>
      </c>
      <c r="D1196" s="27" t="n">
        <v>14</v>
      </c>
      <c r="E1196" s="27" t="n">
        <v>23</v>
      </c>
      <c r="F1196" s="27" t="n">
        <v>25</v>
      </c>
      <c r="G1196" s="27" t="n">
        <v>39</v>
      </c>
      <c r="H1196" s="27" t="n">
        <v>43</v>
      </c>
      <c r="J1196" s="27">
        <f>SUMPRODUCT(COUNTIFS(확률!$J$2:$J$46, 원본!B1196:G1196, 확률!$M$2:$M$46, "&lt;=20"))</f>
        <v/>
      </c>
      <c r="K1196" s="27">
        <f>SUMPRODUCT(COUNTIFS(확률!$J$2:$J$46, 원본!B1196:G1196, 확률!$M$2:$M$46, "&gt;=36"))</f>
        <v/>
      </c>
      <c r="L1196" s="27">
        <f>6-J1196-K1196</f>
        <v/>
      </c>
    </row>
    <row r="1197" ht="16.5" customHeight="1" s="28">
      <c r="A1197" s="31" t="n">
        <v>1196</v>
      </c>
      <c r="B1197" s="27" t="n">
        <v>5</v>
      </c>
      <c r="C1197" s="27" t="n">
        <v>8</v>
      </c>
      <c r="D1197" s="27" t="n">
        <v>17</v>
      </c>
      <c r="E1197" s="27" t="n">
        <v>21</v>
      </c>
      <c r="F1197" s="27" t="n">
        <v>29</v>
      </c>
      <c r="G1197" s="27" t="n">
        <v>34</v>
      </c>
      <c r="H1197" s="27" t="n">
        <v>13</v>
      </c>
      <c r="J1197" s="27">
        <f>SUMPRODUCT(COUNTIFS(확률!$J$2:$J$46, 원본!B1197:G1197, 확률!$M$2:$M$46, "&lt;=20"))</f>
        <v/>
      </c>
      <c r="K1197" s="27">
        <f>SUMPRODUCT(COUNTIFS(확률!$J$2:$J$46, 원본!B1197:G1197, 확률!$M$2:$M$46, "&gt;=36"))</f>
        <v/>
      </c>
      <c r="L1197" s="27">
        <f>6-J1197-K1197</f>
        <v/>
      </c>
    </row>
    <row r="1198" ht="16.5" customHeight="1" s="28">
      <c r="A1198" s="31" t="n">
        <v>1197</v>
      </c>
      <c r="B1198" s="27" t="n">
        <v>7</v>
      </c>
      <c r="C1198" s="27" t="n">
        <v>12</v>
      </c>
      <c r="D1198" s="27" t="n">
        <v>18</v>
      </c>
      <c r="E1198" s="27" t="n">
        <v>22</v>
      </c>
      <c r="F1198" s="27" t="n">
        <v>31</v>
      </c>
      <c r="G1198" s="27" t="n">
        <v>45</v>
      </c>
      <c r="H1198" s="27" t="n">
        <v>40</v>
      </c>
      <c r="J1198" s="27">
        <f>SUMPRODUCT(COUNTIFS(확률!$J$2:$J$46, 원본!B1198:G1198, 확률!$M$2:$M$46, "&lt;=20"))</f>
        <v/>
      </c>
      <c r="K1198" s="27">
        <f>SUMPRODUCT(COUNTIFS(확률!$J$2:$J$46, 원본!B1198:G1198, 확률!$M$2:$M$46, "&gt;=36"))</f>
        <v/>
      </c>
      <c r="L1198" s="27">
        <f>6-J1198-K1198</f>
        <v/>
      </c>
    </row>
    <row r="1199" ht="16.5" customHeight="1" s="28">
      <c r="A1199" s="31" t="n">
        <v>1198</v>
      </c>
      <c r="B1199" s="27" t="n">
        <v>1</v>
      </c>
      <c r="C1199" s="27" t="n">
        <v>9</v>
      </c>
      <c r="D1199" s="27" t="n">
        <v>15</v>
      </c>
      <c r="E1199" s="27" t="n">
        <v>23</v>
      </c>
      <c r="F1199" s="27" t="n">
        <v>32</v>
      </c>
      <c r="G1199" s="27" t="n">
        <v>41</v>
      </c>
      <c r="H1199" s="27" t="n">
        <v>30</v>
      </c>
      <c r="J1199" s="27">
        <f>SUMPRODUCT(COUNTIFS(확률!$J$2:$J$46, 원본!B1199:G1199, 확률!$M$2:$M$46, "&lt;=20"))</f>
        <v/>
      </c>
      <c r="K1199" s="27">
        <f>SUMPRODUCT(COUNTIFS(확률!$J$2:$J$46, 원본!B1199:G1199, 확률!$M$2:$M$46, "&gt;=36"))</f>
        <v/>
      </c>
      <c r="L1199" s="27">
        <f>6-J1199-K1199</f>
        <v/>
      </c>
    </row>
    <row r="1200" ht="16.5" customHeight="1" s="28">
      <c r="A1200" s="31" t="n">
        <v>1199</v>
      </c>
      <c r="B1200" s="27" t="n">
        <v>3</v>
      </c>
      <c r="C1200" s="27" t="n">
        <v>4</v>
      </c>
      <c r="D1200" s="27" t="n">
        <v>15</v>
      </c>
      <c r="E1200" s="27" t="n">
        <v>20</v>
      </c>
      <c r="F1200" s="27" t="n">
        <v>29</v>
      </c>
      <c r="G1200" s="27" t="n">
        <v>44</v>
      </c>
      <c r="H1200" s="27" t="n">
        <v>18</v>
      </c>
      <c r="J1200" s="27">
        <f>SUMPRODUCT(COUNTIFS(확률!$J$2:$J$46, 원본!B1200:G1200, 확률!$M$2:$M$46, "&lt;=20"))</f>
        <v/>
      </c>
      <c r="K1200" s="27">
        <f>SUMPRODUCT(COUNTIFS(확률!$J$2:$J$46, 원본!B1200:G1200, 확률!$M$2:$M$46, "&gt;=36"))</f>
        <v/>
      </c>
      <c r="L1200" s="27">
        <f>6-J1200-K1200</f>
        <v/>
      </c>
    </row>
    <row r="1201" ht="16.5" customHeight="1" s="28">
      <c r="A1201" s="31" t="n">
        <v>1200</v>
      </c>
      <c r="B1201" s="27" t="n">
        <v>1</v>
      </c>
      <c r="C1201" s="27" t="n">
        <v>7</v>
      </c>
      <c r="D1201" s="27" t="n">
        <v>12</v>
      </c>
      <c r="E1201" s="27" t="n">
        <v>15</v>
      </c>
      <c r="F1201" s="27" t="n">
        <v>23</v>
      </c>
      <c r="G1201" s="27" t="n">
        <v>39</v>
      </c>
      <c r="H1201" s="27" t="n">
        <v>30</v>
      </c>
      <c r="J1201" s="27">
        <f>SUMPRODUCT(COUNTIFS(확률!$J$2:$J$46, 원본!B1201:G1201, 확률!$M$2:$M$46, "&lt;=20"))</f>
        <v/>
      </c>
      <c r="K1201" s="27">
        <f>SUMPRODUCT(COUNTIFS(확률!$J$2:$J$46, 원본!B1201:G1201, 확률!$M$2:$M$46, "&gt;=36"))</f>
        <v/>
      </c>
      <c r="L1201" s="27">
        <f>6-J1201-K1201</f>
        <v/>
      </c>
    </row>
    <row r="1202" ht="16.5" customHeight="1" s="28">
      <c r="A1202" s="31" t="n">
        <v>1201</v>
      </c>
      <c r="B1202" s="27" t="n">
        <v>5</v>
      </c>
      <c r="C1202" s="27" t="n">
        <v>10</v>
      </c>
      <c r="D1202" s="27" t="n">
        <v>21</v>
      </c>
      <c r="E1202" s="27" t="n">
        <v>31</v>
      </c>
      <c r="F1202" s="27" t="n">
        <v>35</v>
      </c>
      <c r="G1202" s="27" t="n">
        <v>42</v>
      </c>
      <c r="H1202" s="27" t="n">
        <v>23</v>
      </c>
      <c r="J1202" s="27">
        <f>SUMPRODUCT(COUNTIFS(확률!$J$2:$J$46, 원본!B1202:G1202, 확률!$M$2:$M$46, "&lt;=20"))</f>
        <v/>
      </c>
      <c r="K1202" s="27">
        <f>SUMPRODUCT(COUNTIFS(확률!$J$2:$J$46, 원본!B1202:G1202, 확률!$M$2:$M$46, "&gt;=36"))</f>
        <v/>
      </c>
      <c r="L1202" s="27">
        <f>6-J1202-K1202</f>
        <v/>
      </c>
    </row>
    <row r="1203" ht="16.5" customHeight="1" s="28">
      <c r="A1203" s="31" t="n">
        <v>1202</v>
      </c>
      <c r="B1203" s="27" t="n">
        <v>3</v>
      </c>
      <c r="C1203" s="27" t="n">
        <v>11</v>
      </c>
      <c r="D1203" s="27" t="n">
        <v>15</v>
      </c>
      <c r="E1203" s="27" t="n">
        <v>24</v>
      </c>
      <c r="F1203" s="27" t="n">
        <v>39</v>
      </c>
      <c r="G1203" s="27" t="n">
        <v>44</v>
      </c>
      <c r="H1203" s="27" t="n">
        <v>12</v>
      </c>
      <c r="J1203" s="27">
        <f>SUMPRODUCT(COUNTIFS(확률!$J$2:$J$46, 원본!B1203:G1203, 확률!$M$2:$M$46, "&lt;=20"))</f>
        <v/>
      </c>
      <c r="K1203" s="27">
        <f>SUMPRODUCT(COUNTIFS(확률!$J$2:$J$46, 원본!B1203:G1203, 확률!$M$2:$M$46, "&gt;=36"))</f>
        <v/>
      </c>
      <c r="L1203" s="27">
        <f>6-J1203-K1203</f>
        <v/>
      </c>
    </row>
    <row r="1204" ht="16.5" customHeight="1" s="28">
      <c r="A1204" s="31" t="n">
        <v>1203</v>
      </c>
      <c r="B1204" s="27" t="n">
        <v>6</v>
      </c>
      <c r="C1204" s="27" t="n">
        <v>14</v>
      </c>
      <c r="D1204" s="27" t="n">
        <v>21</v>
      </c>
      <c r="E1204" s="27" t="n">
        <v>31</v>
      </c>
      <c r="F1204" s="27" t="n">
        <v>35</v>
      </c>
      <c r="G1204" s="27" t="n">
        <v>40</v>
      </c>
      <c r="H1204" s="27" t="n">
        <v>23</v>
      </c>
      <c r="J1204" s="27">
        <f>SUMPRODUCT(COUNTIFS(확률!$J$2:$J$46, 원본!B1204:G1204, 확률!$M$2:$M$46, "&lt;=20"))</f>
        <v/>
      </c>
      <c r="K1204" s="27">
        <f>SUMPRODUCT(COUNTIFS(확률!$J$2:$J$46, 원본!B1204:G1204, 확률!$M$2:$M$46, "&gt;=36"))</f>
        <v/>
      </c>
      <c r="L1204" s="27">
        <f>6-J1204-K1204</f>
        <v/>
      </c>
    </row>
    <row r="1205" ht="16.5" customHeight="1" s="28">
      <c r="A1205" s="31" t="n">
        <v>1204</v>
      </c>
      <c r="B1205" s="27" t="n">
        <v>2</v>
      </c>
      <c r="C1205" s="27" t="n">
        <v>7</v>
      </c>
      <c r="D1205" s="27" t="n">
        <v>18</v>
      </c>
      <c r="E1205" s="27" t="n">
        <v>23</v>
      </c>
      <c r="F1205" s="27" t="n">
        <v>31</v>
      </c>
      <c r="G1205" s="27" t="n">
        <v>42</v>
      </c>
      <c r="H1205" s="27" t="n">
        <v>14</v>
      </c>
      <c r="J1205" s="27">
        <f>SUMPRODUCT(COUNTIFS(확률!$J$2:$J$46, 원본!B1205:G1205, 확률!$M$2:$M$46, "&lt;=20"))</f>
        <v/>
      </c>
      <c r="K1205" s="27">
        <f>SUMPRODUCT(COUNTIFS(확률!$J$2:$J$46, 원본!B1205:G1205, 확률!$M$2:$M$46, "&gt;=36"))</f>
        <v/>
      </c>
      <c r="L1205" s="27">
        <f>6-J1205-K1205</f>
        <v/>
      </c>
    </row>
    <row r="1206" ht="16.5" customHeight="1" s="28">
      <c r="A1206" s="31" t="n">
        <v>1205</v>
      </c>
      <c r="B1206" s="27" t="n">
        <v>10</v>
      </c>
      <c r="C1206" s="27" t="n">
        <v>11</v>
      </c>
      <c r="D1206" s="27" t="n">
        <v>24</v>
      </c>
      <c r="E1206" s="27" t="n">
        <v>33</v>
      </c>
      <c r="F1206" s="27" t="n">
        <v>41</v>
      </c>
      <c r="G1206" s="27" t="n">
        <v>42</v>
      </c>
      <c r="H1206" s="27" t="n">
        <v>35</v>
      </c>
      <c r="J1206" s="27">
        <f>SUMPRODUCT(COUNTIFS(확률!$J$2:$J$46, 원본!B1206:G1206, 확률!$M$2:$M$46, "&lt;=20"))</f>
        <v/>
      </c>
      <c r="K1206" s="27">
        <f>SUMPRODUCT(COUNTIFS(확률!$J$2:$J$46, 원본!B1206:G1206, 확률!$M$2:$M$46, "&gt;=36"))</f>
        <v/>
      </c>
      <c r="L1206" s="27">
        <f>6-J1206-K1206</f>
        <v/>
      </c>
    </row>
    <row r="1207" ht="13.8" customHeight="1" s="28">
      <c r="A1207" s="31" t="n">
        <v>1206</v>
      </c>
      <c r="B1207" s="27" t="n">
        <v>1</v>
      </c>
      <c r="C1207" s="27" t="n">
        <v>3</v>
      </c>
      <c r="D1207" s="27" t="n">
        <v>17</v>
      </c>
      <c r="E1207" s="27" t="n">
        <v>26</v>
      </c>
      <c r="F1207" s="27" t="n">
        <v>27</v>
      </c>
      <c r="G1207" s="27" t="n">
        <v>42</v>
      </c>
      <c r="H1207" s="27" t="n">
        <v>23</v>
      </c>
      <c r="J1207" s="27">
        <f>SUMPRODUCT(COUNTIFS(확률!$J$2:$J$46, 원본!B1207:G1207, 확률!$M$2:$M$46, "&lt;=20"))</f>
        <v/>
      </c>
      <c r="K1207" s="27">
        <f>SUMPRODUCT(COUNTIFS(확률!$J$2:$J$46, 원본!B1207:G1207, 확률!$M$2:$M$46, "&gt;=36"))</f>
        <v/>
      </c>
      <c r="L1207" s="27">
        <f>6-J1207-K1207</f>
        <v/>
      </c>
    </row>
    <row r="1208" ht="13.8" customHeight="1" s="28">
      <c r="A1208" s="31" t="n">
        <v>1207</v>
      </c>
      <c r="B1208" s="27" t="n">
        <v>10</v>
      </c>
      <c r="C1208" s="27" t="n">
        <v>22</v>
      </c>
      <c r="D1208" s="27" t="n">
        <v>24</v>
      </c>
      <c r="E1208" s="27" t="n">
        <v>27</v>
      </c>
      <c r="F1208" s="27" t="n">
        <v>38</v>
      </c>
      <c r="G1208" s="27" t="n">
        <v>45</v>
      </c>
      <c r="H1208" s="27" t="n">
        <v>11</v>
      </c>
      <c r="J1208" s="27">
        <f>SUMPRODUCT(COUNTIFS(확률!$J$2:$J$46, 원본!B1208:G1208, 확률!$M$2:$M$46, "&lt;=20"))</f>
        <v/>
      </c>
      <c r="K1208" s="27">
        <f>SUMPRODUCT(COUNTIFS(확률!$J$2:$J$46, 원본!B1208:G1208, 확률!$M$2:$M$46, "&gt;=36"))</f>
        <v/>
      </c>
      <c r="L1208" s="27">
        <f>6-J1208-K1208</f>
        <v/>
      </c>
    </row>
    <row r="1209" ht="13.8" customHeight="1" s="28">
      <c r="A1209" s="31" t="n">
        <v>1208</v>
      </c>
      <c r="B1209" s="27" t="n">
        <v>6</v>
      </c>
      <c r="C1209" s="27" t="n">
        <v>27</v>
      </c>
      <c r="D1209" s="27" t="n">
        <v>30</v>
      </c>
      <c r="E1209" s="27" t="n">
        <v>36</v>
      </c>
      <c r="F1209" s="27" t="n">
        <v>38</v>
      </c>
      <c r="G1209" s="27" t="n">
        <v>42</v>
      </c>
      <c r="H1209" s="27" t="n">
        <v>25</v>
      </c>
      <c r="J1209" s="27">
        <f>SUMPRODUCT(COUNTIFS(확률!$J$2:$J$46, 원본!B1209:G1209, 확률!$M$2:$M$46, "&lt;=20"))</f>
        <v/>
      </c>
      <c r="K1209" s="27">
        <f>SUMPRODUCT(COUNTIFS(확률!$J$2:$J$46, 원본!B1209:G1209, 확률!$M$2:$M$46, "&gt;=36"))</f>
        <v/>
      </c>
      <c r="L1209" s="27">
        <f>6-J1209-K1209</f>
        <v/>
      </c>
    </row>
    <row r="1210" ht="13.8" customHeight="1" s="28">
      <c r="A1210" s="31" t="n">
        <v>1209</v>
      </c>
      <c r="B1210" s="27" t="n">
        <v>2</v>
      </c>
      <c r="C1210" s="27" t="n">
        <v>17</v>
      </c>
      <c r="D1210" s="27" t="n">
        <v>20</v>
      </c>
      <c r="E1210" s="27" t="n">
        <v>35</v>
      </c>
      <c r="F1210" s="27" t="n">
        <v>37</v>
      </c>
      <c r="G1210" s="27" t="n">
        <v>39</v>
      </c>
      <c r="H1210" s="27" t="n">
        <v>24</v>
      </c>
      <c r="J1210" s="27">
        <f>SUMPRODUCT(COUNTIFS(확률!$J$2:$J$46, 원본!B1210:G1210, 확률!$M$2:$M$46, "&lt;=20"))</f>
        <v/>
      </c>
      <c r="K1210" s="27">
        <f>SUMPRODUCT(COUNTIFS(확률!$J$2:$J$46, 원본!B1210:G1210, 확률!$M$2:$M$46, "&gt;=36"))</f>
        <v/>
      </c>
      <c r="L1210" s="27">
        <f>6-J1210-K1210</f>
        <v/>
      </c>
    </row>
    <row r="1211" ht="13.8" customHeight="1" s="28">
      <c r="A1211" s="31" t="n">
        <v>1210</v>
      </c>
      <c r="B1211" s="27" t="n">
        <v>1</v>
      </c>
      <c r="C1211" s="27" t="n">
        <v>7</v>
      </c>
      <c r="D1211" s="27" t="n">
        <v>9</v>
      </c>
      <c r="E1211" s="27" t="n">
        <v>17</v>
      </c>
      <c r="F1211" s="27" t="n">
        <v>27</v>
      </c>
      <c r="G1211" s="27" t="n">
        <v>38</v>
      </c>
      <c r="H1211" s="27" t="n">
        <v>31</v>
      </c>
      <c r="J1211" s="27">
        <f>SUMPRODUCT(COUNTIFS(확률!$J$2:$J$46, 원본!B1211:G1211, 확률!$M$2:$M$46, "&lt;=20"))</f>
        <v/>
      </c>
      <c r="K1211" s="27">
        <f>SUMPRODUCT(COUNTIFS(확률!$J$2:$J$46, 원본!B1211:G1211, 확률!$M$2:$M$46, "&gt;=36"))</f>
        <v/>
      </c>
      <c r="L1211" s="27">
        <f>6-J1211-K1211</f>
        <v/>
      </c>
    </row>
    <row r="1212" ht="13.8" customHeight="1" s="28">
      <c r="A1212" s="31" t="n">
        <v>1211</v>
      </c>
      <c r="B1212" s="27" t="n">
        <v>23</v>
      </c>
      <c r="C1212" s="27" t="n">
        <v>26</v>
      </c>
      <c r="D1212" s="27" t="n">
        <v>27</v>
      </c>
      <c r="E1212" s="27" t="n">
        <v>35</v>
      </c>
      <c r="F1212" s="27" t="n">
        <v>38</v>
      </c>
      <c r="G1212" s="27" t="n">
        <v>40</v>
      </c>
      <c r="H1212" s="27" t="n">
        <v>10</v>
      </c>
      <c r="J1212" s="27">
        <f>SUMPRODUCT(COUNTIFS(확률!$J$2:$J$46, 원본!B1212:G1212, 확률!$M$2:$M$46, "&lt;=20"))</f>
        <v/>
      </c>
      <c r="K1212" s="27">
        <f>SUMPRODUCT(COUNTIFS(확률!$J$2:$J$46, 원본!B1212:G1212, 확률!$M$2:$M$46, "&gt;=36"))</f>
        <v/>
      </c>
      <c r="L1212" s="27">
        <f>6-J1212-K1212</f>
        <v/>
      </c>
    </row>
    <row r="1213" ht="13.8" customHeight="1" s="28">
      <c r="A1213" s="31" t="n">
        <v>1212</v>
      </c>
      <c r="B1213" s="27" t="n">
        <v>5</v>
      </c>
      <c r="C1213" s="27" t="n">
        <v>8</v>
      </c>
      <c r="D1213" s="27" t="n">
        <v>25</v>
      </c>
      <c r="E1213" s="27" t="n">
        <v>31</v>
      </c>
      <c r="F1213" s="27" t="n">
        <v>41</v>
      </c>
      <c r="G1213" s="27" t="n">
        <v>44</v>
      </c>
      <c r="H1213" s="27" t="n">
        <v>45</v>
      </c>
      <c r="J1213" s="27">
        <f>SUMPRODUCT(COUNTIFS(확률!$J$2:$J$46, 원본!B1213:G1213, 확률!$M$2:$M$46, "&lt;=20"))</f>
        <v/>
      </c>
      <c r="K1213" s="27">
        <f>SUMPRODUCT(COUNTIFS(확률!$J$2:$J$46, 원본!B1213:G1213, 확률!$M$2:$M$46, "&gt;=36"))</f>
        <v/>
      </c>
      <c r="L1213" s="27">
        <f>6-J1213-K1213</f>
        <v/>
      </c>
    </row>
    <row r="1214" ht="13.8" customHeight="1" s="28">
      <c r="A1214" s="31" t="n">
        <v>1213</v>
      </c>
      <c r="B1214" s="27" t="n">
        <v>5</v>
      </c>
      <c r="C1214" s="27" t="n">
        <v>11</v>
      </c>
      <c r="D1214" s="27" t="n">
        <v>25</v>
      </c>
      <c r="E1214" s="27" t="n">
        <v>27</v>
      </c>
      <c r="F1214" s="27" t="n">
        <v>36</v>
      </c>
      <c r="G1214" s="27" t="n">
        <v>38</v>
      </c>
      <c r="H1214" s="27" t="n">
        <v>2</v>
      </c>
      <c r="J1214" s="27">
        <f>SUMPRODUCT(COUNTIFS(확률!$J$2:$J$46, 원본!B1214:G1214, 확률!$M$2:$M$46, "&lt;=20"))</f>
        <v/>
      </c>
      <c r="K1214" s="27">
        <f>SUMPRODUCT(COUNTIFS(확률!$J$2:$J$46, 원본!B1214:G1214, 확률!$M$2:$M$46, "&gt;=36"))</f>
        <v/>
      </c>
      <c r="L1214" s="27">
        <f>6-J1214-K1214</f>
        <v/>
      </c>
    </row>
    <row r="1215" ht="13.8" customHeight="1" s="28">
      <c r="A1215" s="31" t="n">
        <v>1214</v>
      </c>
      <c r="B1215" s="27" t="n">
        <v>10</v>
      </c>
      <c r="C1215" s="27" t="n">
        <v>15</v>
      </c>
      <c r="D1215" s="27" t="n">
        <v>19</v>
      </c>
      <c r="E1215" s="27" t="n">
        <v>27</v>
      </c>
      <c r="F1215" s="27" t="n">
        <v>30</v>
      </c>
      <c r="G1215" s="27" t="n">
        <v>33</v>
      </c>
      <c r="H1215" s="27" t="n">
        <v>14</v>
      </c>
      <c r="J1215" s="27">
        <f>SUMPRODUCT(COUNTIFS(확률!$J$2:$J$46, 원본!B1215:G1215, 확률!$M$2:$M$46, "&lt;=20"))</f>
        <v/>
      </c>
      <c r="K1215" s="27">
        <f>SUMPRODUCT(COUNTIFS(확률!$J$2:$J$46, 원본!B1215:G1215, 확률!$M$2:$M$46, "&gt;=36"))</f>
        <v/>
      </c>
      <c r="L1215" s="27">
        <f>6-J1215-K1215</f>
        <v/>
      </c>
    </row>
    <row r="1216" ht="13.8" customHeight="1" s="28">
      <c r="A1216" s="31" t="n">
        <v>1215</v>
      </c>
      <c r="B1216" s="27" t="n">
        <v>13</v>
      </c>
      <c r="C1216" s="27" t="n">
        <v>15</v>
      </c>
      <c r="D1216" s="27" t="n">
        <v>19</v>
      </c>
      <c r="E1216" s="27" t="n">
        <v>21</v>
      </c>
      <c r="F1216" s="27" t="n">
        <v>44</v>
      </c>
      <c r="G1216" s="27" t="n">
        <v>45</v>
      </c>
      <c r="H1216" s="27" t="n">
        <v>39</v>
      </c>
      <c r="J1216" s="27">
        <f>SUMPRODUCT(COUNTIFS(확률!$J$2:$J$46, 원본!B1216:G1216, 확률!$M$2:$M$46, "&lt;=20"))</f>
        <v/>
      </c>
      <c r="K1216" s="27">
        <f>SUMPRODUCT(COUNTIFS(확률!$J$2:$J$46, 원본!B1216:G1216, 확률!$M$2:$M$46, "&gt;=36"))</f>
        <v/>
      </c>
      <c r="L1216" s="27">
        <f>6-J1216-K1216</f>
        <v/>
      </c>
    </row>
    <row r="1217" ht="13.8" customHeight="1" s="28">
      <c r="A1217" s="31" t="n">
        <v>1216</v>
      </c>
      <c r="B1217" s="27" t="n">
        <v>3</v>
      </c>
      <c r="C1217" s="27" t="n">
        <v>10</v>
      </c>
      <c r="D1217" s="27" t="n">
        <v>14</v>
      </c>
      <c r="E1217" s="27" t="n">
        <v>15</v>
      </c>
      <c r="F1217" s="27" t="n">
        <v>23</v>
      </c>
      <c r="G1217" s="27" t="n">
        <v>24</v>
      </c>
      <c r="H1217" s="27" t="n">
        <v>25</v>
      </c>
      <c r="J1217" s="27">
        <f>SUMPRODUCT(COUNTIFS(확률!$J$2:$J$46, 원본!B1217:G1217, 확률!$M$2:$M$46, "&lt;=20"))</f>
        <v/>
      </c>
      <c r="K1217" s="27">
        <f>SUMPRODUCT(COUNTIFS(확률!$J$2:$J$46, 원본!B1217:G1217, 확률!$M$2:$M$46, "&gt;=36"))</f>
        <v/>
      </c>
      <c r="L1217" s="27">
        <f>6-J1217-K1217</f>
        <v/>
      </c>
    </row>
    <row r="1218" ht="13.8" customHeight="1" s="28">
      <c r="A1218" s="31" t="n">
        <v>1217</v>
      </c>
      <c r="B1218" s="27" t="n">
        <v>8</v>
      </c>
      <c r="C1218" s="27" t="n">
        <v>10</v>
      </c>
      <c r="D1218" s="27" t="n">
        <v>15</v>
      </c>
      <c r="E1218" s="27" t="n">
        <v>20</v>
      </c>
      <c r="F1218" s="27" t="n">
        <v>29</v>
      </c>
      <c r="G1218" s="27" t="n">
        <v>31</v>
      </c>
      <c r="H1218" s="27" t="n">
        <v>41</v>
      </c>
      <c r="J1218" s="27">
        <f>SUMPRODUCT(COUNTIFS(확률!$J$2:$J$46, 원본!B1218:G1218, 확률!$M$2:$M$46, "&lt;=20"))</f>
        <v/>
      </c>
      <c r="K1218" s="27">
        <f>SUMPRODUCT(COUNTIFS(확률!$J$2:$J$46, 원본!B1218:G1218, 확률!$M$2:$M$46, "&gt;=36"))</f>
        <v/>
      </c>
      <c r="L1218" s="27">
        <f>6-J1218-K1218</f>
        <v/>
      </c>
    </row>
    <row r="1219" ht="13.8" customHeight="1" s="28">
      <c r="A1219" s="31" t="n">
        <v>1218</v>
      </c>
      <c r="B1219" s="27" t="n">
        <v>3</v>
      </c>
      <c r="C1219" s="27" t="n">
        <v>28</v>
      </c>
      <c r="D1219" s="27" t="n">
        <v>31</v>
      </c>
      <c r="E1219" s="27" t="n">
        <v>32</v>
      </c>
      <c r="F1219" s="27" t="n">
        <v>42</v>
      </c>
      <c r="G1219" s="27" t="n">
        <v>45</v>
      </c>
      <c r="H1219" s="27" t="n">
        <v>25</v>
      </c>
      <c r="J1219" s="27">
        <f>SUMPRODUCT(COUNTIFS(확률!$J$2:$J$46, 원본!B1219:G1219, 확률!$M$2:$M$46, "&lt;=20"))</f>
        <v/>
      </c>
      <c r="K1219" s="27">
        <f>SUMPRODUCT(COUNTIFS(확률!$J$2:$J$46, 원본!B1219:G1219, 확률!$M$2:$M$46, "&gt;=36"))</f>
        <v/>
      </c>
      <c r="L1219" s="27">
        <f>6-J1219-K1219</f>
        <v/>
      </c>
    </row>
    <row r="1220" ht="13.8" customHeight="1" s="28">
      <c r="A1220" s="31" t="n">
        <v>1219</v>
      </c>
      <c r="B1220" s="27" t="n">
        <v>1</v>
      </c>
      <c r="C1220" s="27" t="n">
        <v>2</v>
      </c>
      <c r="D1220" s="27" t="n">
        <v>15</v>
      </c>
      <c r="E1220" s="27" t="n">
        <v>28</v>
      </c>
      <c r="F1220" s="27" t="n">
        <v>39</v>
      </c>
      <c r="G1220" s="27" t="n">
        <v>45</v>
      </c>
      <c r="H1220" s="27" t="n">
        <v>31</v>
      </c>
      <c r="J1220" s="27">
        <f>SUMPRODUCT(COUNTIFS(확률!$J$2:$J$46, 원본!B1220:G1220, 확률!$M$2:$M$46, "&lt;=20"))</f>
        <v/>
      </c>
      <c r="K1220" s="27">
        <f>SUMPRODUCT(COUNTIFS(확률!$J$2:$J$46, 원본!B1220:G1220, 확률!$M$2:$M$46, "&gt;=36"))</f>
        <v/>
      </c>
      <c r="L1220" s="27">
        <f>6-J1220-K1220</f>
        <v/>
      </c>
    </row>
    <row r="1221" ht="13.8" customHeight="1" s="28">
      <c r="A1221" s="31" t="n">
        <v>1220</v>
      </c>
      <c r="B1221" s="27" t="n">
        <v>2</v>
      </c>
      <c r="C1221" s="27" t="n">
        <v>22</v>
      </c>
      <c r="D1221" s="27" t="n">
        <v>25</v>
      </c>
      <c r="E1221" s="27" t="n">
        <v>28</v>
      </c>
      <c r="F1221" s="27" t="n">
        <v>34</v>
      </c>
      <c r="G1221" s="27" t="n">
        <v>43</v>
      </c>
      <c r="H1221" s="27" t="n">
        <v>16</v>
      </c>
      <c r="J1221" s="27">
        <f>SUMPRODUCT(COUNTIFS(확률!$J$2:$J$46, 원본!B1221:G1221, 확률!$M$2:$M$46, "&lt;=20"))</f>
        <v/>
      </c>
      <c r="K1221" s="27">
        <f>SUMPRODUCT(COUNTIFS(확률!$J$2:$J$46, 원본!B1221:G1221, 확률!$M$2:$M$46, "&gt;=36"))</f>
        <v/>
      </c>
      <c r="L1221" s="27">
        <f>6-J1221-K1221</f>
        <v/>
      </c>
    </row>
    <row r="1222" ht="13.8" customHeight="1" s="28">
      <c r="A1222" s="31" t="n">
        <v>1221</v>
      </c>
      <c r="B1222" s="27" t="n">
        <v>6</v>
      </c>
      <c r="C1222" s="27" t="n">
        <v>13</v>
      </c>
      <c r="D1222" s="27" t="n">
        <v>18</v>
      </c>
      <c r="E1222" s="27" t="n">
        <v>28</v>
      </c>
      <c r="F1222" s="27" t="n">
        <v>30</v>
      </c>
      <c r="G1222" s="27" t="n">
        <v>36</v>
      </c>
      <c r="H1222" s="27" t="n">
        <v>9</v>
      </c>
      <c r="J1222" s="27">
        <f>SUMPRODUCT(COUNTIFS(확률!$J$2:$J$46, 원본!B1222:G1222, 확률!$M$2:$M$46, "&lt;=20"))</f>
        <v/>
      </c>
      <c r="K1222" s="27">
        <f>SUMPRODUCT(COUNTIFS(확률!$J$2:$J$46, 원본!B1222:G1222, 확률!$M$2:$M$46, "&gt;=36"))</f>
        <v/>
      </c>
      <c r="L1222" s="27">
        <f>6-J1222-K1222</f>
        <v/>
      </c>
    </row>
    <row r="1223" ht="13.8" customHeight="1" s="28">
      <c r="A1223" s="31" t="n">
        <v>1222</v>
      </c>
      <c r="B1223" s="27" t="n">
        <v>4</v>
      </c>
      <c r="C1223" s="27" t="n">
        <v>11</v>
      </c>
      <c r="D1223" s="27" t="n">
        <v>17</v>
      </c>
      <c r="E1223" s="27" t="n">
        <v>22</v>
      </c>
      <c r="F1223" s="27" t="n">
        <v>32</v>
      </c>
      <c r="G1223" s="27" t="n">
        <v>41</v>
      </c>
      <c r="H1223" s="27" t="n">
        <v>34</v>
      </c>
      <c r="J1223" s="27">
        <f>SUMPRODUCT(COUNTIFS(확률!$J$2:$J$46, 원본!B1223:G1223, 확률!$M$2:$M$46, "&lt;=20"))</f>
        <v/>
      </c>
      <c r="K1223" s="27">
        <f>SUMPRODUCT(COUNTIFS(확률!$J$2:$J$46, 원본!B1223:G1223, 확률!$M$2:$M$46, "&gt;=36"))</f>
        <v/>
      </c>
      <c r="L1223" s="27">
        <f>6-J1223-K1223</f>
        <v/>
      </c>
    </row>
    <row r="1224" ht="13.8" customHeight="1" s="28">
      <c r="A1224" s="31" t="n">
        <v>1223</v>
      </c>
      <c r="B1224" s="27" t="n">
        <v>16</v>
      </c>
      <c r="C1224" s="27" t="n">
        <v>18</v>
      </c>
      <c r="D1224" s="27" t="n">
        <v>20</v>
      </c>
      <c r="E1224" s="27" t="n">
        <v>32</v>
      </c>
      <c r="F1224" s="27" t="n">
        <v>33</v>
      </c>
      <c r="G1224" s="27" t="n">
        <v>39</v>
      </c>
      <c r="H1224" s="27" t="n">
        <v>26</v>
      </c>
      <c r="J1224" s="27">
        <f>SUMPRODUCT(COUNTIFS(확률!$J$2:$J$46, 원본!B1224:G1224, 확률!$M$2:$M$46, "&lt;=20"))</f>
        <v/>
      </c>
      <c r="K1224" s="27">
        <f>SUMPRODUCT(COUNTIFS(확률!$J$2:$J$46, 원본!B1224:G1224, 확률!$M$2:$M$46, "&gt;=36"))</f>
        <v/>
      </c>
      <c r="L1224" s="27">
        <f>6-J1224-K1224</f>
        <v/>
      </c>
    </row>
    <row r="1225" ht="13.8" customHeight="1" s="28">
      <c r="A1225" s="31" t="n">
        <v>1224</v>
      </c>
      <c r="B1225" s="27" t="n">
        <v>9</v>
      </c>
      <c r="C1225" s="27" t="n">
        <v>18</v>
      </c>
      <c r="D1225" s="27" t="n">
        <v>21</v>
      </c>
      <c r="E1225" s="27" t="n">
        <v>27</v>
      </c>
      <c r="F1225" s="27" t="n">
        <v>44</v>
      </c>
      <c r="G1225" s="27" t="n">
        <v>45</v>
      </c>
      <c r="H1225" s="27" t="n">
        <v>28</v>
      </c>
      <c r="J1225" s="27">
        <f>SUMPRODUCT(COUNTIFS(확률!$J$2:$J$46, 원본!B1225:G1225, 확률!$M$2:$M$46, "&lt;=20"))</f>
        <v/>
      </c>
      <c r="K1225" s="27">
        <f>SUMPRODUCT(COUNTIFS(확률!$J$2:$J$46, 원본!B1225:G1225, 확률!$M$2:$M$46, "&gt;=36"))</f>
        <v/>
      </c>
      <c r="L1225" s="27">
        <f>6-J1225-K1225</f>
        <v/>
      </c>
    </row>
    <row r="1226" ht="13.8" customHeight="1" s="28">
      <c r="A1226" s="31" t="n">
        <v>1225</v>
      </c>
      <c r="B1226" s="27" t="n">
        <v>8</v>
      </c>
      <c r="C1226" s="27" t="n">
        <v>9</v>
      </c>
      <c r="D1226" s="27" t="n">
        <v>19</v>
      </c>
      <c r="E1226" s="27" t="n">
        <v>25</v>
      </c>
      <c r="F1226" s="27" t="n">
        <v>41</v>
      </c>
      <c r="G1226" s="27" t="n">
        <v>42</v>
      </c>
      <c r="H1226" s="27" t="n">
        <v>33</v>
      </c>
      <c r="J1226" s="27">
        <f>SUMPRODUCT(COUNTIFS(확률!$J$2:$J$46, 원본!B1226:G1226, 확률!$M$2:$M$46, "&lt;=20"))</f>
        <v/>
      </c>
      <c r="K1226" s="27">
        <f>SUMPRODUCT(COUNTIFS(확률!$J$2:$J$46, 원본!B1226:G1226, 확률!$M$2:$M$46, "&gt;=36"))</f>
        <v/>
      </c>
      <c r="L1226" s="27">
        <f>6-J1226-K1226</f>
        <v/>
      </c>
    </row>
    <row r="1227" ht="13.8" customHeight="1" s="28">
      <c r="A1227" s="31" t="n">
        <v>1226</v>
      </c>
      <c r="B1227" s="27" t="n">
        <v>4</v>
      </c>
      <c r="C1227" s="27" t="n">
        <v>6</v>
      </c>
      <c r="D1227" s="27" t="n">
        <v>13</v>
      </c>
      <c r="E1227" s="27" t="n">
        <v>17</v>
      </c>
      <c r="F1227" s="27" t="n">
        <v>26</v>
      </c>
      <c r="G1227" s="27" t="n">
        <v>28</v>
      </c>
      <c r="H1227" s="27" t="n">
        <v>41</v>
      </c>
      <c r="J1227" s="27">
        <f>SUMPRODUCT(COUNTIFS(확률!$J$2:$J$46, 원본!B1227:G1227, 확률!$M$2:$M$46, "&lt;=20"))</f>
        <v/>
      </c>
      <c r="K1227" s="27">
        <f>SUMPRODUCT(COUNTIFS(확률!$J$2:$J$46, 원본!B1227:G1227, 확률!$M$2:$M$46, "&gt;=36"))</f>
        <v/>
      </c>
      <c r="L1227" s="27">
        <f>6-J1227-K1227</f>
        <v/>
      </c>
    </row>
    <row r="1228" ht="13.8" customHeight="1" s="28">
      <c r="A1228" s="31" t="n">
        <v>1227</v>
      </c>
      <c r="B1228" s="27" t="n">
        <v>1</v>
      </c>
      <c r="C1228" s="27" t="n">
        <v>14</v>
      </c>
      <c r="D1228" s="27" t="n">
        <v>16</v>
      </c>
      <c r="E1228" s="27" t="n">
        <v>34</v>
      </c>
      <c r="F1228" s="27" t="n">
        <v>41</v>
      </c>
      <c r="G1228" s="27" t="n">
        <v>44</v>
      </c>
      <c r="H1228" s="27" t="n">
        <v>13</v>
      </c>
      <c r="J1228" s="27">
        <f>SUMPRODUCT(COUNTIFS(확률!$J$2:$J$46, 원본!B1228:G1228, 확률!$M$2:$M$46, "&lt;=20"))</f>
        <v/>
      </c>
      <c r="K1228" s="27">
        <f>SUMPRODUCT(COUNTIFS(확률!$J$2:$J$46, 원본!B1228:G1228, 확률!$M$2:$M$46, "&gt;=36"))</f>
        <v/>
      </c>
      <c r="L1228" s="27">
        <f>6-J1228-K1228</f>
        <v/>
      </c>
    </row>
    <row r="1229" ht="13.8" customHeight="1" s="28">
      <c r="A1229" s="31" t="n">
        <v>1228</v>
      </c>
      <c r="B1229" s="27" t="n">
        <v>24</v>
      </c>
      <c r="C1229" s="27" t="n">
        <v>29</v>
      </c>
      <c r="D1229" s="27" t="n">
        <v>30</v>
      </c>
      <c r="E1229" s="27" t="n">
        <v>31</v>
      </c>
      <c r="F1229" s="27" t="n">
        <v>35</v>
      </c>
      <c r="G1229" s="27" t="n">
        <v>44</v>
      </c>
      <c r="H1229" s="27" t="n">
        <v>1</v>
      </c>
      <c r="J1229" s="27">
        <f>SUMPRODUCT(COUNTIFS(확률!$J$2:$J$46, 원본!B1229:G1229, 확률!$M$2:$M$46, "&lt;=20"))</f>
        <v/>
      </c>
      <c r="K1229" s="27">
        <f>SUMPRODUCT(COUNTIFS(확률!$J$2:$J$46, 원본!B1229:G1229, 확률!$M$2:$M$46, "&gt;=36"))</f>
        <v/>
      </c>
      <c r="L1229" s="27">
        <f>6-J1229-K1229</f>
        <v/>
      </c>
    </row>
    <row r="1230" ht="13.8" customHeight="1" s="28">
      <c r="A1230" s="31" t="n">
        <v>1229</v>
      </c>
      <c r="B1230" s="27" t="n">
        <v>12</v>
      </c>
      <c r="C1230" s="27" t="n">
        <v>13</v>
      </c>
      <c r="D1230" s="27" t="n">
        <v>29</v>
      </c>
      <c r="E1230" s="27" t="n">
        <v>34</v>
      </c>
      <c r="F1230" s="27" t="n">
        <v>37</v>
      </c>
      <c r="G1230" s="27" t="n">
        <v>42</v>
      </c>
      <c r="H1230" s="27" t="n">
        <v>16</v>
      </c>
      <c r="J1230" s="27">
        <f>SUMPRODUCT(COUNTIFS(확률!$J$2:$J$46, 원본!B1230:G1230, 확률!$M$2:$M$46, "&lt;=20"))</f>
        <v/>
      </c>
      <c r="K1230" s="27">
        <f>SUMPRODUCT(COUNTIFS(확률!$J$2:$J$46, 원본!B1230:G1230, 확률!$M$2:$M$46, "&gt;=36"))</f>
        <v/>
      </c>
      <c r="L1230" s="27">
        <f>6-J1230-K1230</f>
        <v/>
      </c>
    </row>
    <row r="1231" ht="13.8" customHeight="1" s="28">
      <c r="A1231" s="31" t="n">
        <v>1230</v>
      </c>
      <c r="B1231" s="27" t="n">
        <v>3</v>
      </c>
      <c r="C1231" s="27" t="n">
        <v>8</v>
      </c>
      <c r="D1231" s="27" t="n">
        <v>9</v>
      </c>
      <c r="E1231" s="27" t="n">
        <v>22</v>
      </c>
      <c r="F1231" s="27" t="n">
        <v>28</v>
      </c>
      <c r="G1231" s="27" t="n">
        <v>42</v>
      </c>
      <c r="H1231" s="27" t="n">
        <v>45</v>
      </c>
      <c r="J1231" s="27">
        <f>SUMPRODUCT(COUNTIFS(확률!$J$2:$J$46, 원본!B1231:G1231, 확률!$M$2:$M$46, "&lt;=20"))</f>
        <v/>
      </c>
      <c r="K1231" s="27">
        <f>SUMPRODUCT(COUNTIFS(확률!$J$2:$J$46, 원본!B1231:G1231, 확률!$M$2:$M$46, "&gt;=36"))</f>
        <v/>
      </c>
      <c r="L1231" s="27">
        <f>6-J1231-K1231</f>
        <v/>
      </c>
    </row>
    <row r="1232" ht="13.8" customHeight="1" s="28">
      <c r="A1232" s="31" t="n">
        <v>1231</v>
      </c>
      <c r="B1232" s="27" t="n">
        <v>4</v>
      </c>
      <c r="C1232" s="27" t="n">
        <v>13</v>
      </c>
      <c r="D1232" s="27" t="n">
        <v>14</v>
      </c>
      <c r="E1232" s="27" t="n">
        <v>18</v>
      </c>
      <c r="F1232" s="27" t="n">
        <v>31</v>
      </c>
      <c r="G1232" s="27" t="n">
        <v>38</v>
      </c>
      <c r="H1232" s="27" t="n">
        <v>15</v>
      </c>
      <c r="J1232" s="27">
        <f>SUMPRODUCT(COUNTIFS(확률!$J$2:$J$46, 원본!B1232:G1232, 확률!$M$2:$M$46, "&lt;=20"))</f>
        <v/>
      </c>
      <c r="K1232" s="27">
        <f>SUMPRODUCT(COUNTIFS(확률!$J$2:$J$46, 원본!B1232:G1232, 확률!$M$2:$M$46, "&gt;=36"))</f>
        <v/>
      </c>
      <c r="L1232" s="27">
        <f>6-J1232-K1232</f>
        <v/>
      </c>
    </row>
    <row r="1233" ht="13.8" customHeight="1" s="28">
      <c r="A1233" s="31" t="n">
        <v>1232</v>
      </c>
      <c r="B1233" s="27" t="n">
        <v>12</v>
      </c>
      <c r="C1233" s="27" t="n">
        <v>15</v>
      </c>
      <c r="D1233" s="27" t="n">
        <v>19</v>
      </c>
      <c r="E1233" s="27" t="n">
        <v>22</v>
      </c>
      <c r="F1233" s="27" t="n">
        <v>24</v>
      </c>
      <c r="G1233" s="27" t="n">
        <v>36</v>
      </c>
      <c r="H1233" s="27" t="n">
        <v>3</v>
      </c>
      <c r="J1233" s="27">
        <f>SUMPRODUCT(COUNTIFS(확률!$J$2:$J$46, 원본!B1233:G1233, 확률!$M$2:$M$46, "&lt;=20"))</f>
        <v/>
      </c>
      <c r="K1233" s="27">
        <f>SUMPRODUCT(COUNTIFS(확률!$J$2:$J$46, 원본!B1233:G1233, 확률!$M$2:$M$46, "&gt;=36"))</f>
        <v/>
      </c>
      <c r="L1233" s="27">
        <f>6-J1233-K1233</f>
        <v/>
      </c>
    </row>
    <row r="1234" ht="13.8" customHeight="1" s="28">
      <c r="A1234" s="31" t="n">
        <v>1233</v>
      </c>
      <c r="B1234" s="27" t="n">
        <v>2</v>
      </c>
      <c r="C1234" s="27" t="n">
        <v>7</v>
      </c>
      <c r="D1234" s="27" t="n">
        <v>20</v>
      </c>
      <c r="E1234" s="27" t="n">
        <v>25</v>
      </c>
      <c r="F1234" s="27" t="n">
        <v>37</v>
      </c>
      <c r="G1234" s="27" t="n">
        <v>40</v>
      </c>
      <c r="H1234" s="27" t="n">
        <v>29</v>
      </c>
      <c r="J1234" s="27">
        <f>SUMPRODUCT(COUNTIFS(확률!$J$2:$J$46, 원본!B1234:G1234, 확률!$M$2:$M$46, "&lt;=20"))</f>
        <v/>
      </c>
      <c r="K1234" s="27">
        <f>SUMPRODUCT(COUNTIFS(확률!$J$2:$J$46, 원본!B1234:G1234, 확률!$M$2:$M$46, "&gt;=36"))</f>
        <v/>
      </c>
      <c r="L1234" s="27">
        <f>6-J1234-K1234</f>
        <v/>
      </c>
    </row>
    <row r="1235" ht="13.8" customHeight="1" s="28">
      <c r="A1235" s="31" t="n">
        <v>1234</v>
      </c>
      <c r="B1235" s="27" t="n">
        <v>1</v>
      </c>
      <c r="C1235" s="27" t="n">
        <v>15</v>
      </c>
      <c r="D1235" s="27" t="n">
        <v>19</v>
      </c>
      <c r="E1235" s="27" t="n">
        <v>31</v>
      </c>
      <c r="F1235" s="27" t="n">
        <v>35</v>
      </c>
      <c r="G1235" s="27" t="n">
        <v>43</v>
      </c>
      <c r="H1235" s="27" t="n">
        <v>27</v>
      </c>
      <c r="J1235" s="27">
        <f>SUMPRODUCT(COUNTIFS(확률!$J$2:$J$46, 원본!B1235:G1235, 확률!$M$2:$M$46, "&lt;=20"))</f>
        <v/>
      </c>
      <c r="K1235" s="27">
        <f>SUMPRODUCT(COUNTIFS(확률!$J$2:$J$46, 원본!B1235:G1235, 확률!$M$2:$M$46, "&gt;=36"))</f>
        <v/>
      </c>
      <c r="L1235" s="27">
        <f>6-J1235-K1235</f>
        <v/>
      </c>
    </row>
    <row r="1236" ht="13.8" customHeight="1" s="28">
      <c r="A1236" s="31" t="n">
        <v>1235</v>
      </c>
      <c r="B1236" s="27" t="n">
        <v>6</v>
      </c>
      <c r="C1236" s="27" t="n">
        <v>7</v>
      </c>
      <c r="D1236" s="27" t="n">
        <v>11</v>
      </c>
      <c r="E1236" s="27" t="n">
        <v>15</v>
      </c>
      <c r="F1236" s="27" t="n">
        <v>39</v>
      </c>
      <c r="G1236" s="27" t="n">
        <v>43</v>
      </c>
      <c r="H1236" s="27" t="n">
        <v>20</v>
      </c>
      <c r="J1236" s="27">
        <f>SUMPRODUCT(COUNTIFS(확률!$J$2:$J$46, 원본!B1236:G1236, 확률!$M$2:$M$46, "&lt;=20"))</f>
        <v/>
      </c>
      <c r="K1236" s="27">
        <f>SUMPRODUCT(COUNTIFS(확률!$J$2:$J$46, 원본!B1236:G1236, 확률!$M$2:$M$46, "&gt;=36"))</f>
        <v/>
      </c>
      <c r="L1236" s="27">
        <f>6-J1236-K1236</f>
        <v/>
      </c>
    </row>
    <row r="1237" ht="13.8" customHeight="1" s="28">
      <c r="A1237" s="31" t="n">
        <v>1236</v>
      </c>
      <c r="B1237" s="27" t="n">
        <v>12</v>
      </c>
      <c r="C1237" s="27" t="n">
        <v>18</v>
      </c>
      <c r="D1237" s="27" t="n">
        <v>21</v>
      </c>
      <c r="E1237" s="27" t="n">
        <v>29</v>
      </c>
      <c r="F1237" s="27" t="n">
        <v>34</v>
      </c>
      <c r="G1237" s="27" t="n">
        <v>38</v>
      </c>
      <c r="H1237" s="27" t="n">
        <v>10</v>
      </c>
      <c r="J1237" s="27">
        <f>SUMPRODUCT(COUNTIFS(확률!$J$2:$J$46, 원본!B1237:G1237, 확률!$M$2:$M$46, "&lt;=20"))</f>
        <v/>
      </c>
      <c r="K1237" s="27">
        <f>SUMPRODUCT(COUNTIFS(확률!$J$2:$J$46, 원본!B1237:G1237, 확률!$M$2:$M$46, "&gt;=36"))</f>
        <v/>
      </c>
      <c r="L1237" s="27">
        <f>6-J1237-K1237</f>
        <v/>
      </c>
    </row>
    <row r="1238" ht="13.8" customHeight="1" s="28">
      <c r="A1238" s="31" t="n">
        <v>1237</v>
      </c>
      <c r="B1238" s="27" t="n">
        <v>10</v>
      </c>
      <c r="C1238" s="27" t="n">
        <v>20</v>
      </c>
      <c r="D1238" s="27" t="n">
        <v>23</v>
      </c>
      <c r="E1238" s="27" t="n">
        <v>34</v>
      </c>
      <c r="F1238" s="27" t="n">
        <v>37</v>
      </c>
      <c r="G1238" s="27" t="n">
        <v>40</v>
      </c>
      <c r="H1238" s="27" t="n">
        <v>36</v>
      </c>
      <c r="J1238" s="27">
        <f>SUMPRODUCT(COUNTIFS(확률!$J$2:$J$46, 원본!B1238:G1238, 확률!$M$2:$M$46, "&lt;=20"))</f>
        <v/>
      </c>
      <c r="K1238" s="27">
        <f>SUMPRODUCT(COUNTIFS(확률!$J$2:$J$46, 원본!B1238:G1238, 확률!$M$2:$M$46, "&gt;=36"))</f>
        <v/>
      </c>
      <c r="L1238" s="27">
        <f>6-J1238-K1238</f>
        <v/>
      </c>
    </row>
    <row r="1239" ht="13.8" customHeight="1" s="28">
      <c r="A1239" s="31" t="n">
        <v>1238</v>
      </c>
      <c r="B1239" s="27" t="n">
        <v>2</v>
      </c>
      <c r="C1239" s="27" t="n">
        <v>13</v>
      </c>
      <c r="D1239" s="27" t="n">
        <v>18</v>
      </c>
      <c r="E1239" s="27" t="n">
        <v>32</v>
      </c>
      <c r="F1239" s="27" t="n">
        <v>38</v>
      </c>
      <c r="G1239" s="27" t="n">
        <v>42</v>
      </c>
      <c r="H1239" s="27" t="n">
        <v>22</v>
      </c>
      <c r="J1239" s="27">
        <f>SUMPRODUCT(COUNTIFS(확률!$J$2:$J$46, 원본!B1239:G1239, 확률!$M$2:$M$46, "&lt;=20"))</f>
        <v/>
      </c>
      <c r="K1239" s="27">
        <f>SUMPRODUCT(COUNTIFS(확률!$J$2:$J$46, 원본!B1239:G1239, 확률!$M$2:$M$46, "&gt;=36"))</f>
        <v/>
      </c>
      <c r="L1239" s="27">
        <f>6-J1239-K1239</f>
        <v/>
      </c>
    </row>
    <row r="1240" ht="13.8" customHeight="1" s="28">
      <c r="A1240" s="31" t="n">
        <v>1239</v>
      </c>
      <c r="B1240" s="27" t="n">
        <v>11</v>
      </c>
      <c r="C1240" s="27" t="n">
        <v>13</v>
      </c>
      <c r="D1240" s="27" t="n">
        <v>22</v>
      </c>
      <c r="E1240" s="27" t="n">
        <v>32</v>
      </c>
      <c r="F1240" s="27" t="n">
        <v>33</v>
      </c>
      <c r="G1240" s="27" t="n">
        <v>36</v>
      </c>
      <c r="H1240" s="27" t="n">
        <v>8</v>
      </c>
      <c r="J1240" s="27">
        <f>SUMPRODUCT(COUNTIFS(확률!$J$2:$J$46, 원본!B1240:G1240, 확률!$M$2:$M$46, "&lt;=20"))</f>
        <v/>
      </c>
      <c r="K1240" s="27">
        <f>SUMPRODUCT(COUNTIFS(확률!$J$2:$J$46, 원본!B1240:G1240, 확률!$M$2:$M$46, "&gt;=36"))</f>
        <v/>
      </c>
      <c r="L1240" s="27">
        <f>6-J1240-K1240</f>
        <v/>
      </c>
    </row>
    <row r="1241" ht="13.8" customHeight="1" s="28">
      <c r="A1241" s="31" t="n">
        <v>1240</v>
      </c>
      <c r="B1241" s="27" t="n">
        <v>11</v>
      </c>
      <c r="C1241" s="27" t="n">
        <v>13</v>
      </c>
      <c r="D1241" s="27" t="n">
        <v>19</v>
      </c>
      <c r="E1241" s="27" t="n">
        <v>20</v>
      </c>
      <c r="F1241" s="27" t="n">
        <v>31</v>
      </c>
      <c r="G1241" s="27" t="n">
        <v>44</v>
      </c>
      <c r="H1241" s="27" t="n">
        <v>27</v>
      </c>
      <c r="J1241" s="27">
        <f>SUMPRODUCT(COUNTIFS(확률!$J$2:$J$46, 원본!B1241:G1241, 확률!$M$2:$M$46, "&lt;=20"))</f>
        <v/>
      </c>
      <c r="K1241" s="27">
        <f>SUMPRODUCT(COUNTIFS(확률!$J$2:$J$46, 원본!B1241:G1241, 확률!$M$2:$M$46, "&gt;=36"))</f>
        <v/>
      </c>
      <c r="L1241" s="27">
        <f>6-J1241-K1241</f>
        <v/>
      </c>
    </row>
    <row r="1242" ht="13.8" customHeight="1" s="28">
      <c r="A1242" s="31" t="n">
        <v>1241</v>
      </c>
      <c r="B1242" s="27" t="n">
        <v>7</v>
      </c>
      <c r="C1242" s="27" t="n">
        <v>13</v>
      </c>
      <c r="D1242" s="27" t="n">
        <v>16</v>
      </c>
      <c r="E1242" s="27" t="n">
        <v>23</v>
      </c>
      <c r="F1242" s="27" t="n">
        <v>24</v>
      </c>
      <c r="G1242" s="27" t="n">
        <v>43</v>
      </c>
      <c r="H1242" s="27" t="n">
        <v>9</v>
      </c>
      <c r="J1242" s="27">
        <f>SUMPRODUCT(COUNTIFS(확률!$J$2:$J$46, 원본!B1242:G1242, 확률!$M$2:$M$46, "&lt;=20"))</f>
        <v/>
      </c>
      <c r="K1242" s="27">
        <f>SUMPRODUCT(COUNTIFS(확률!$J$2:$J$46, 원본!B1242:G1242, 확률!$M$2:$M$46, "&gt;=36"))</f>
        <v/>
      </c>
      <c r="L1242" s="27">
        <f>6-J1242-K1242</f>
        <v/>
      </c>
    </row>
    <row r="1243" ht="13.8" customHeight="1" s="28">
      <c r="A1243" s="31" t="n">
        <v>1242</v>
      </c>
      <c r="B1243" s="27" t="n">
        <v>2</v>
      </c>
      <c r="C1243" s="27" t="n">
        <v>4</v>
      </c>
      <c r="D1243" s="27" t="n">
        <v>10</v>
      </c>
      <c r="E1243" s="27" t="n">
        <v>16</v>
      </c>
      <c r="F1243" s="27" t="n">
        <v>31</v>
      </c>
      <c r="G1243" s="27" t="n">
        <v>41</v>
      </c>
      <c r="H1243" s="27" t="n">
        <v>9</v>
      </c>
      <c r="J1243" s="27">
        <f>SUMPRODUCT(COUNTIFS(확률!$J$2:$J$46, 원본!B1243:G1243, 확률!$M$2:$M$46, "&lt;=20"))</f>
        <v/>
      </c>
      <c r="K1243" s="27">
        <f>SUMPRODUCT(COUNTIFS(확률!$J$2:$J$46, 원본!B1243:G1243, 확률!$M$2:$M$46, "&gt;=36"))</f>
        <v/>
      </c>
      <c r="L1243" s="27">
        <f>6-J1243-K1243</f>
        <v/>
      </c>
    </row>
    <row r="1244" ht="13.8" customHeight="1" s="28">
      <c r="A1244" s="31" t="n">
        <v>1243</v>
      </c>
      <c r="B1244" s="27" t="n">
        <v>9</v>
      </c>
      <c r="C1244" s="27" t="n">
        <v>18</v>
      </c>
      <c r="D1244" s="27" t="n">
        <v>24</v>
      </c>
      <c r="E1244" s="27" t="n">
        <v>38</v>
      </c>
      <c r="F1244" s="27" t="n">
        <v>43</v>
      </c>
      <c r="G1244" s="27" t="n">
        <v>44</v>
      </c>
      <c r="H1244" s="27" t="n">
        <v>35</v>
      </c>
      <c r="J1244" s="27">
        <f>SUMPRODUCT(COUNTIFS(확률!$J$2:$J$46, 원본!B1244:G1244, 확률!$M$2:$M$46, "&lt;=20"))</f>
        <v/>
      </c>
      <c r="K1244" s="27">
        <f>SUMPRODUCT(COUNTIFS(확률!$J$2:$J$46, 원본!B1244:G1244, 확률!$M$2:$M$46, "&gt;=36"))</f>
        <v/>
      </c>
      <c r="L1244" s="27">
        <f>6-J1244-K1244</f>
        <v/>
      </c>
    </row>
    <row r="1245" ht="13.8" customHeight="1" s="28">
      <c r="A1245" s="31" t="n">
        <v>1244</v>
      </c>
      <c r="B1245" s="27" t="n">
        <v>1</v>
      </c>
      <c r="C1245" s="27" t="n">
        <v>13</v>
      </c>
      <c r="D1245" s="27" t="n">
        <v>18</v>
      </c>
      <c r="E1245" s="27" t="n">
        <v>26</v>
      </c>
      <c r="F1245" s="27" t="n">
        <v>34</v>
      </c>
      <c r="G1245" s="27" t="n">
        <v>38</v>
      </c>
      <c r="H1245" s="27" t="n">
        <v>25</v>
      </c>
      <c r="J1245" s="27">
        <f>SUMPRODUCT(COUNTIFS(확률!$J$2:$J$46, 원본!B1245:G1245, 확률!$M$2:$M$46, "&lt;=20"))</f>
        <v/>
      </c>
      <c r="K1245" s="27">
        <f>SUMPRODUCT(COUNTIFS(확률!$J$2:$J$46, 원본!B1245:G1245, 확률!$M$2:$M$46, "&gt;=36"))</f>
        <v/>
      </c>
      <c r="L1245" s="27">
        <f>6-J1245-K1245</f>
        <v/>
      </c>
    </row>
    <row r="1246" ht="13.8" customHeight="1" s="28">
      <c r="A1246" s="31" t="n">
        <v>1245</v>
      </c>
      <c r="B1246" t="n">
        <v>4</v>
      </c>
      <c r="C1246" t="n">
        <v>5</v>
      </c>
      <c r="D1246" t="n">
        <v>25</v>
      </c>
      <c r="E1246" t="n">
        <v>28</v>
      </c>
      <c r="F1246" t="n">
        <v>32</v>
      </c>
      <c r="G1246" t="n">
        <v>42</v>
      </c>
      <c r="H1246" t="n">
        <v>12</v>
      </c>
      <c r="J1246" s="27">
        <f>SUMPRODUCT(COUNTIFS(확률!$J$2:$J$46, 원본!B1246:G1246, 확률!$M$2:$M$46, "&lt;=20"))</f>
        <v/>
      </c>
      <c r="K1246" s="27">
        <f>SUMPRODUCT(COUNTIFS(확률!$J$2:$J$46, 원본!B1246:G1246, 확률!$M$2:$M$46, "&gt;=36"))</f>
        <v/>
      </c>
      <c r="L1246" s="27">
        <f>6-J1246-K1246</f>
        <v/>
      </c>
    </row>
    <row r="1247" ht="13.8" customHeight="1" s="28">
      <c r="A1247" s="31" t="n"/>
      <c r="J1247" s="27">
        <f>SUMPRODUCT(COUNTIFS(확률!$J$2:$J$46, 원본!B1247:G1247, 확률!$M$2:$M$46, "&lt;=20"))</f>
        <v/>
      </c>
      <c r="K1247" s="27">
        <f>SUMPRODUCT(COUNTIFS(확률!$J$2:$J$46, 원본!B1247:G1247, 확률!$M$2:$M$46, "&gt;=36"))</f>
        <v/>
      </c>
      <c r="L1247" s="27">
        <f>6-J1247-K1247</f>
        <v/>
      </c>
    </row>
    <row r="1248" ht="13.8" customHeight="1" s="28">
      <c r="A1248" s="31" t="n"/>
      <c r="J1248" s="27">
        <f>SUMPRODUCT(COUNTIFS(확률!$J$2:$J$46, 원본!B1248:G1248, 확률!$M$2:$M$46, "&lt;=20"))</f>
        <v/>
      </c>
      <c r="K1248" s="27">
        <f>SUMPRODUCT(COUNTIFS(확률!$J$2:$J$46, 원본!B1248:G1248, 확률!$M$2:$M$46, "&gt;=36"))</f>
        <v/>
      </c>
      <c r="L1248" s="27">
        <f>6-J1248-K1248</f>
        <v/>
      </c>
    </row>
    <row r="1249" ht="13.8" customHeight="1" s="28">
      <c r="A1249" s="31" t="n"/>
      <c r="J1249" s="27">
        <f>SUMPRODUCT(COUNTIFS(확률!$J$2:$J$46, 원본!B1249:G1249, 확률!$M$2:$M$46, "&lt;=20"))</f>
        <v/>
      </c>
      <c r="K1249" s="27">
        <f>SUMPRODUCT(COUNTIFS(확률!$J$2:$J$46, 원본!B1249:G1249, 확률!$M$2:$M$46, "&gt;=36"))</f>
        <v/>
      </c>
      <c r="L1249" s="27">
        <f>6-J1249-K1249</f>
        <v/>
      </c>
    </row>
    <row r="1250" ht="13.8" customHeight="1" s="28">
      <c r="A1250" s="31" t="n"/>
      <c r="J1250" s="27">
        <f>SUMPRODUCT(COUNTIFS(확률!$J$2:$J$46, 원본!B1250:G1250, 확률!$M$2:$M$46, "&lt;=20"))</f>
        <v/>
      </c>
      <c r="K1250" s="27">
        <f>SUMPRODUCT(COUNTIFS(확률!$J$2:$J$46, 원본!B1250:G1250, 확률!$M$2:$M$46, "&gt;=36"))</f>
        <v/>
      </c>
      <c r="L1250" s="27">
        <f>6-J1250-K1250</f>
        <v/>
      </c>
    </row>
    <row r="1251" ht="13.8" customHeight="1" s="28">
      <c r="A1251" s="31" t="n"/>
      <c r="J1251" s="27">
        <f>SUMPRODUCT(COUNTIFS(확률!$J$2:$J$46, 원본!B1251:G1251, 확률!$M$2:$M$46, "&lt;=20"))</f>
        <v/>
      </c>
      <c r="K1251" s="27">
        <f>SUMPRODUCT(COUNTIFS(확률!$J$2:$J$46, 원본!B1251:G1251, 확률!$M$2:$M$46, "&gt;=36"))</f>
        <v/>
      </c>
      <c r="L1251" s="27">
        <f>6-J1251-K1251</f>
        <v/>
      </c>
    </row>
    <row r="1252" ht="13.8" customHeight="1" s="28">
      <c r="A1252" s="31" t="n"/>
      <c r="J1252" s="27">
        <f>SUMPRODUCT(COUNTIFS(확률!$J$2:$J$46, 원본!B1252:G1252, 확률!$M$2:$M$46, "&lt;=20"))</f>
        <v/>
      </c>
      <c r="K1252" s="27">
        <f>SUMPRODUCT(COUNTIFS(확률!$J$2:$J$46, 원본!B1252:G1252, 확률!$M$2:$M$46, "&gt;=36"))</f>
        <v/>
      </c>
      <c r="L1252" s="27">
        <f>6-J1252-K1252</f>
        <v/>
      </c>
    </row>
    <row r="1253" ht="13.8" customHeight="1" s="28">
      <c r="A1253" s="31" t="n"/>
      <c r="J1253" s="27">
        <f>SUMPRODUCT(COUNTIFS(확률!$J$2:$J$46, 원본!B1253:G1253, 확률!$M$2:$M$46, "&lt;=20"))</f>
        <v/>
      </c>
      <c r="K1253" s="27">
        <f>SUMPRODUCT(COUNTIFS(확률!$J$2:$J$46, 원본!B1253:G1253, 확률!$M$2:$M$46, "&gt;=36"))</f>
        <v/>
      </c>
      <c r="L1253" s="27">
        <f>6-J1253-K1253</f>
        <v/>
      </c>
    </row>
    <row r="1254" ht="13.8" customHeight="1" s="28">
      <c r="A1254" s="31" t="n"/>
      <c r="J1254" s="27">
        <f>SUMPRODUCT(COUNTIFS(확률!$J$2:$J$46, 원본!B1254:G1254, 확률!$M$2:$M$46, "&lt;=20"))</f>
        <v/>
      </c>
      <c r="K1254" s="27">
        <f>SUMPRODUCT(COUNTIFS(확률!$J$2:$J$46, 원본!B1254:G1254, 확률!$M$2:$M$46, "&gt;=36"))</f>
        <v/>
      </c>
      <c r="L1254" s="27">
        <f>6-J1254-K1254</f>
        <v/>
      </c>
    </row>
    <row r="1255" ht="13.8" customHeight="1" s="28">
      <c r="A1255" s="31" t="n"/>
      <c r="J1255" s="27">
        <f>SUMPRODUCT(COUNTIFS(확률!$J$2:$J$46, 원본!B1255:G1255, 확률!$M$2:$M$46, "&lt;=20"))</f>
        <v/>
      </c>
      <c r="K1255" s="27">
        <f>SUMPRODUCT(COUNTIFS(확률!$J$2:$J$46, 원본!B1255:G1255, 확률!$M$2:$M$46, "&gt;=36"))</f>
        <v/>
      </c>
      <c r="L1255" s="27">
        <f>6-J1255-K1255</f>
        <v/>
      </c>
    </row>
    <row r="1256" ht="13.8" customHeight="1" s="28">
      <c r="A1256" s="31" t="n"/>
      <c r="J1256" s="27">
        <f>SUMPRODUCT(COUNTIFS(확률!$J$2:$J$46, 원본!B1256:G1256, 확률!$M$2:$M$46, "&lt;=20"))</f>
        <v/>
      </c>
      <c r="K1256" s="27">
        <f>SUMPRODUCT(COUNTIFS(확률!$J$2:$J$46, 원본!B1256:G1256, 확률!$M$2:$M$46, "&gt;=36"))</f>
        <v/>
      </c>
      <c r="L1256" s="27">
        <f>6-J1256-K1256</f>
        <v/>
      </c>
    </row>
    <row r="1257" ht="13.8" customHeight="1" s="28">
      <c r="A1257" s="31" t="n"/>
      <c r="J1257" s="27">
        <f>SUMPRODUCT(COUNTIFS(확률!$J$2:$J$46, 원본!B1257:G1257, 확률!$M$2:$M$46, "&lt;=20"))</f>
        <v/>
      </c>
      <c r="K1257" s="27">
        <f>SUMPRODUCT(COUNTIFS(확률!$J$2:$J$46, 원본!B1257:G1257, 확률!$M$2:$M$46, "&gt;=36"))</f>
        <v/>
      </c>
      <c r="L1257" s="27">
        <f>6-J1257-K1257</f>
        <v/>
      </c>
    </row>
    <row r="1258" ht="13.8" customHeight="1" s="28">
      <c r="A1258" s="31" t="n"/>
      <c r="J1258" s="27">
        <f>SUMPRODUCT(COUNTIFS(확률!$J$2:$J$46, 원본!B1258:G1258, 확률!$M$2:$M$46, "&lt;=20"))</f>
        <v/>
      </c>
      <c r="K1258" s="27">
        <f>SUMPRODUCT(COUNTIFS(확률!$J$2:$J$46, 원본!B1258:G1258, 확률!$M$2:$M$46, "&gt;=36"))</f>
        <v/>
      </c>
      <c r="L1258" s="27">
        <f>6-J1258-K1258</f>
        <v/>
      </c>
    </row>
    <row r="1259" ht="13.8" customHeight="1" s="28">
      <c r="A1259" s="31" t="n"/>
      <c r="J1259" s="27">
        <f>SUMPRODUCT(COUNTIFS(확률!$J$2:$J$46, 원본!B1259:G1259, 확률!$M$2:$M$46, "&lt;=20"))</f>
        <v/>
      </c>
      <c r="K1259" s="27">
        <f>SUMPRODUCT(COUNTIFS(확률!$J$2:$J$46, 원본!B1259:G1259, 확률!$M$2:$M$46, "&gt;=36"))</f>
        <v/>
      </c>
      <c r="L1259" s="27">
        <f>6-J1259-K1259</f>
        <v/>
      </c>
    </row>
    <row r="1260" ht="13.8" customHeight="1" s="28">
      <c r="A1260" s="31" t="n"/>
      <c r="J1260" s="27">
        <f>SUMPRODUCT(COUNTIFS(확률!$J$2:$J$46, 원본!B1260:G1260, 확률!$M$2:$M$46, "&lt;=20"))</f>
        <v/>
      </c>
      <c r="K1260" s="27">
        <f>SUMPRODUCT(COUNTIFS(확률!$J$2:$J$46, 원본!B1260:G1260, 확률!$M$2:$M$46, "&gt;=36"))</f>
        <v/>
      </c>
      <c r="L1260" s="27">
        <f>6-J1260-K1260</f>
        <v/>
      </c>
    </row>
    <row r="1261" ht="13.8" customHeight="1" s="28">
      <c r="A1261" s="31" t="n"/>
      <c r="J1261" s="27">
        <f>SUMPRODUCT(COUNTIFS(확률!$J$2:$J$46, 원본!B1261:G1261, 확률!$M$2:$M$46, "&lt;=20"))</f>
        <v/>
      </c>
      <c r="K1261" s="27">
        <f>SUMPRODUCT(COUNTIFS(확률!$J$2:$J$46, 원본!B1261:G1261, 확률!$M$2:$M$46, "&gt;=36"))</f>
        <v/>
      </c>
      <c r="L1261" s="27">
        <f>6-J1261-K1261</f>
        <v/>
      </c>
    </row>
    <row r="1262" ht="13.8" customHeight="1" s="28">
      <c r="A1262" s="31" t="n"/>
      <c r="J1262" s="27">
        <f>SUMPRODUCT(COUNTIFS(확률!$J$2:$J$46, 원본!B1262:G1262, 확률!$M$2:$M$46, "&lt;=20"))</f>
        <v/>
      </c>
      <c r="K1262" s="27">
        <f>SUMPRODUCT(COUNTIFS(확률!$J$2:$J$46, 원본!B1262:G1262, 확률!$M$2:$M$46, "&gt;=36"))</f>
        <v/>
      </c>
      <c r="L1262" s="27">
        <f>6-J1262-K1262</f>
        <v/>
      </c>
    </row>
    <row r="1263" ht="13.8" customHeight="1" s="28">
      <c r="A1263" s="31" t="n"/>
      <c r="J1263" s="27">
        <f>SUMPRODUCT(COUNTIFS(확률!$J$2:$J$46, 원본!B1263:G1263, 확률!$M$2:$M$46, "&lt;=20"))</f>
        <v/>
      </c>
      <c r="K1263" s="27">
        <f>SUMPRODUCT(COUNTIFS(확률!$J$2:$J$46, 원본!B1263:G1263, 확률!$M$2:$M$46, "&gt;=36"))</f>
        <v/>
      </c>
      <c r="L1263" s="27">
        <f>6-J1263-K1263</f>
        <v/>
      </c>
    </row>
    <row r="1264" ht="13.8" customHeight="1" s="28">
      <c r="A1264" s="31" t="n"/>
      <c r="J1264" s="27">
        <f>SUMPRODUCT(COUNTIFS(확률!$J$2:$J$46, 원본!B1264:G1264, 확률!$M$2:$M$46, "&lt;=20"))</f>
        <v/>
      </c>
      <c r="K1264" s="27">
        <f>SUMPRODUCT(COUNTIFS(확률!$J$2:$J$46, 원본!B1264:G1264, 확률!$M$2:$M$46, "&gt;=36"))</f>
        <v/>
      </c>
      <c r="L1264" s="27">
        <f>6-J1264-K1264</f>
        <v/>
      </c>
    </row>
    <row r="1265" ht="13.8" customHeight="1" s="28">
      <c r="A1265" s="31" t="n"/>
      <c r="J1265" s="27">
        <f>SUMPRODUCT(COUNTIFS(확률!$J$2:$J$46, 원본!B1265:G1265, 확률!$M$2:$M$46, "&lt;=20"))</f>
        <v/>
      </c>
      <c r="K1265" s="27">
        <f>SUMPRODUCT(COUNTIFS(확률!$J$2:$J$46, 원본!B1265:G1265, 확률!$M$2:$M$46, "&gt;=36"))</f>
        <v/>
      </c>
      <c r="L1265" s="27">
        <f>6-J1265-K1265</f>
        <v/>
      </c>
    </row>
    <row r="1266" ht="13.8" customHeight="1" s="28">
      <c r="A1266" s="31" t="n"/>
      <c r="J1266" s="27">
        <f>SUMPRODUCT(COUNTIFS(확률!$J$2:$J$46, 원본!B1266:G1266, 확률!$M$2:$M$46, "&lt;=20"))</f>
        <v/>
      </c>
      <c r="K1266" s="27">
        <f>SUMPRODUCT(COUNTIFS(확률!$J$2:$J$46, 원본!B1266:G1266, 확률!$M$2:$M$46, "&gt;=36"))</f>
        <v/>
      </c>
      <c r="L1266" s="27">
        <f>6-J1266-K1266</f>
        <v/>
      </c>
    </row>
    <row r="1267" ht="13.8" customHeight="1" s="28">
      <c r="A1267" s="31" t="n"/>
      <c r="J1267" s="27">
        <f>SUMPRODUCT(COUNTIFS(확률!$J$2:$J$46, 원본!B1267:G1267, 확률!$M$2:$M$46, "&lt;=20"))</f>
        <v/>
      </c>
      <c r="K1267" s="27">
        <f>SUMPRODUCT(COUNTIFS(확률!$J$2:$J$46, 원본!B1267:G1267, 확률!$M$2:$M$46, "&gt;=36"))</f>
        <v/>
      </c>
      <c r="L1267" s="27">
        <f>6-J1267-K1267</f>
        <v/>
      </c>
    </row>
    <row r="1268" ht="13.8" customHeight="1" s="28">
      <c r="A1268" s="31" t="n"/>
      <c r="J1268" s="27">
        <f>SUMPRODUCT(COUNTIFS(확률!$J$2:$J$46, 원본!B1268:G1268, 확률!$M$2:$M$46, "&lt;=20"))</f>
        <v/>
      </c>
      <c r="K1268" s="27">
        <f>SUMPRODUCT(COUNTIFS(확률!$J$2:$J$46, 원본!B1268:G1268, 확률!$M$2:$M$46, "&gt;=36"))</f>
        <v/>
      </c>
      <c r="L1268" s="27">
        <f>6-J1268-K1268</f>
        <v/>
      </c>
    </row>
    <row r="1269" ht="13.8" customHeight="1" s="28">
      <c r="A1269" s="31" t="n"/>
      <c r="J1269" s="27">
        <f>SUMPRODUCT(COUNTIFS(확률!$J$2:$J$46, 원본!B1269:G1269, 확률!$M$2:$M$46, "&lt;=20"))</f>
        <v/>
      </c>
      <c r="K1269" s="27">
        <f>SUMPRODUCT(COUNTIFS(확률!$J$2:$J$46, 원본!B1269:G1269, 확률!$M$2:$M$46, "&gt;=36"))</f>
        <v/>
      </c>
      <c r="L1269" s="27">
        <f>6-J1269-K1269</f>
        <v/>
      </c>
    </row>
    <row r="1270" ht="13.8" customHeight="1" s="28">
      <c r="A1270" s="31" t="n"/>
      <c r="J1270" s="27">
        <f>SUMPRODUCT(COUNTIFS(확률!$J$2:$J$46, 원본!B1270:G1270, 확률!$M$2:$M$46, "&lt;=20"))</f>
        <v/>
      </c>
      <c r="K1270" s="27">
        <f>SUMPRODUCT(COUNTIFS(확률!$J$2:$J$46, 원본!B1270:G1270, 확률!$M$2:$M$46, "&gt;=36"))</f>
        <v/>
      </c>
      <c r="L1270" s="27">
        <f>6-J1270-K1270</f>
        <v/>
      </c>
    </row>
    <row r="1271" ht="13.8" customHeight="1" s="28">
      <c r="A1271" s="31" t="n"/>
      <c r="J1271" s="27">
        <f>SUMPRODUCT(COUNTIFS(확률!$J$2:$J$46, 원본!B1271:G1271, 확률!$M$2:$M$46, "&lt;=20"))</f>
        <v/>
      </c>
      <c r="K1271" s="27">
        <f>SUMPRODUCT(COUNTIFS(확률!$J$2:$J$46, 원본!B1271:G1271, 확률!$M$2:$M$46, "&gt;=36"))</f>
        <v/>
      </c>
      <c r="L1271" s="27">
        <f>6-J1271-K1271</f>
        <v/>
      </c>
    </row>
    <row r="1272" ht="13.8" customHeight="1" s="28">
      <c r="A1272" s="31" t="n"/>
      <c r="J1272" s="27">
        <f>SUMPRODUCT(COUNTIFS(확률!$J$2:$J$46, 원본!B1272:G1272, 확률!$M$2:$M$46, "&lt;=20"))</f>
        <v/>
      </c>
      <c r="K1272" s="27">
        <f>SUMPRODUCT(COUNTIFS(확률!$J$2:$J$46, 원본!B1272:G1272, 확률!$M$2:$M$46, "&gt;=36"))</f>
        <v/>
      </c>
      <c r="L1272" s="27">
        <f>6-J1272-K1272</f>
        <v/>
      </c>
    </row>
    <row r="1273" ht="13.8" customHeight="1" s="28">
      <c r="A1273" s="31" t="n"/>
      <c r="J1273" s="27">
        <f>SUMPRODUCT(COUNTIFS(확률!$J$2:$J$46, 원본!B1273:G1273, 확률!$M$2:$M$46, "&lt;=20"))</f>
        <v/>
      </c>
      <c r="K1273" s="27">
        <f>SUMPRODUCT(COUNTIFS(확률!$J$2:$J$46, 원본!B1273:G1273, 확률!$M$2:$M$46, "&gt;=36"))</f>
        <v/>
      </c>
      <c r="L1273" s="27">
        <f>6-J1273-K1273</f>
        <v/>
      </c>
    </row>
    <row r="1274" ht="13.8" customHeight="1" s="28">
      <c r="A1274" s="31" t="n"/>
      <c r="J1274" s="27">
        <f>SUMPRODUCT(COUNTIFS(확률!$J$2:$J$46, 원본!B1274:G1274, 확률!$M$2:$M$46, "&lt;=20"))</f>
        <v/>
      </c>
      <c r="K1274" s="27">
        <f>SUMPRODUCT(COUNTIFS(확률!$J$2:$J$46, 원본!B1274:G1274, 확률!$M$2:$M$46, "&gt;=36"))</f>
        <v/>
      </c>
      <c r="L1274" s="27">
        <f>6-J1274-K1274</f>
        <v/>
      </c>
    </row>
    <row r="1275" ht="13.8" customHeight="1" s="28">
      <c r="A1275" s="31" t="n"/>
      <c r="J1275" s="27">
        <f>SUMPRODUCT(COUNTIFS(확률!$J$2:$J$46, 원본!B1275:G1275, 확률!$M$2:$M$46, "&lt;=20"))</f>
        <v/>
      </c>
      <c r="K1275" s="27">
        <f>SUMPRODUCT(COUNTIFS(확률!$J$2:$J$46, 원본!B1275:G1275, 확률!$M$2:$M$46, "&gt;=36"))</f>
        <v/>
      </c>
      <c r="L1275" s="27">
        <f>6-J1275-K1275</f>
        <v/>
      </c>
    </row>
    <row r="1276" ht="13.8" customHeight="1" s="28">
      <c r="A1276" s="31" t="n"/>
      <c r="J1276" s="27">
        <f>SUMPRODUCT(COUNTIFS(확률!$J$2:$J$46, 원본!B1276:G1276, 확률!$M$2:$M$46, "&lt;=20"))</f>
        <v/>
      </c>
      <c r="K1276" s="27">
        <f>SUMPRODUCT(COUNTIFS(확률!$J$2:$J$46, 원본!B1276:G1276, 확률!$M$2:$M$46, "&gt;=36"))</f>
        <v/>
      </c>
      <c r="L1276" s="27">
        <f>6-J1276-K1276</f>
        <v/>
      </c>
    </row>
    <row r="1277" ht="13.8" customHeight="1" s="28">
      <c r="A1277" s="31" t="n"/>
      <c r="J1277" s="27">
        <f>SUMPRODUCT(COUNTIFS(확률!$J$2:$J$46, 원본!B1277:G1277, 확률!$M$2:$M$46, "&lt;=20"))</f>
        <v/>
      </c>
      <c r="K1277" s="27">
        <f>SUMPRODUCT(COUNTIFS(확률!$J$2:$J$46, 원본!B1277:G1277, 확률!$M$2:$M$46, "&gt;=36"))</f>
        <v/>
      </c>
      <c r="L1277" s="27">
        <f>6-J1277-K1277</f>
        <v/>
      </c>
    </row>
    <row r="1278" ht="13.8" customHeight="1" s="28">
      <c r="A1278" s="31" t="n"/>
      <c r="J1278" s="27">
        <f>SUMPRODUCT(COUNTIFS(확률!$J$2:$J$46, 원본!B1278:G1278, 확률!$M$2:$M$46, "&lt;=20"))</f>
        <v/>
      </c>
      <c r="K1278" s="27">
        <f>SUMPRODUCT(COUNTIFS(확률!$J$2:$J$46, 원본!B1278:G1278, 확률!$M$2:$M$46, "&gt;=36"))</f>
        <v/>
      </c>
      <c r="L1278" s="27">
        <f>6-J1278-K1278</f>
        <v/>
      </c>
    </row>
    <row r="1279" ht="13.8" customHeight="1" s="28">
      <c r="A1279" s="31" t="n"/>
      <c r="J1279" s="27">
        <f>SUMPRODUCT(COUNTIFS(확률!$J$2:$J$46, 원본!B1279:G1279, 확률!$M$2:$M$46, "&lt;=20"))</f>
        <v/>
      </c>
      <c r="K1279" s="27">
        <f>SUMPRODUCT(COUNTIFS(확률!$J$2:$J$46, 원본!B1279:G1279, 확률!$M$2:$M$46, "&gt;=36"))</f>
        <v/>
      </c>
      <c r="L1279" s="27">
        <f>6-J1279-K1279</f>
        <v/>
      </c>
    </row>
    <row r="1280" ht="13.8" customHeight="1" s="28">
      <c r="A1280" s="31" t="n"/>
      <c r="J1280" s="27">
        <f>SUMPRODUCT(COUNTIFS(확률!$J$2:$J$46, 원본!B1280:G1280, 확률!$M$2:$M$46, "&lt;=20"))</f>
        <v/>
      </c>
      <c r="K1280" s="27">
        <f>SUMPRODUCT(COUNTIFS(확률!$J$2:$J$46, 원본!B1280:G1280, 확률!$M$2:$M$46, "&gt;=36"))</f>
        <v/>
      </c>
      <c r="L1280" s="27">
        <f>6-J1280-K1280</f>
        <v/>
      </c>
    </row>
    <row r="1281" ht="13.8" customHeight="1" s="28">
      <c r="A1281" s="31" t="n"/>
      <c r="J1281" s="27">
        <f>SUMPRODUCT(COUNTIFS(확률!$J$2:$J$46, 원본!B1281:G1281, 확률!$M$2:$M$46, "&lt;=20"))</f>
        <v/>
      </c>
      <c r="K1281" s="27">
        <f>SUMPRODUCT(COUNTIFS(확률!$J$2:$J$46, 원본!B1281:G1281, 확률!$M$2:$M$46, "&gt;=36"))</f>
        <v/>
      </c>
      <c r="L1281" s="27">
        <f>6-J1281-K1281</f>
        <v/>
      </c>
    </row>
    <row r="1282" ht="13.8" customHeight="1" s="28">
      <c r="A1282" s="31" t="n"/>
      <c r="J1282" s="27">
        <f>SUMPRODUCT(COUNTIFS(확률!$J$2:$J$46, 원본!B1282:G1282, 확률!$M$2:$M$46, "&lt;=20"))</f>
        <v/>
      </c>
      <c r="K1282" s="27">
        <f>SUMPRODUCT(COUNTIFS(확률!$J$2:$J$46, 원본!B1282:G1282, 확률!$M$2:$M$46, "&gt;=36"))</f>
        <v/>
      </c>
      <c r="L1282" s="27">
        <f>6-J1282-K1282</f>
        <v/>
      </c>
    </row>
    <row r="1283" ht="13.8" customHeight="1" s="28">
      <c r="A1283" s="31" t="n"/>
      <c r="J1283" s="27">
        <f>SUMPRODUCT(COUNTIFS(확률!$J$2:$J$46, 원본!B1283:G1283, 확률!$M$2:$M$46, "&lt;=20"))</f>
        <v/>
      </c>
      <c r="K1283" s="27">
        <f>SUMPRODUCT(COUNTIFS(확률!$J$2:$J$46, 원본!B1283:G1283, 확률!$M$2:$M$46, "&gt;=36"))</f>
        <v/>
      </c>
      <c r="L1283" s="27">
        <f>6-J1283-K1283</f>
        <v/>
      </c>
    </row>
    <row r="1284" ht="13.8" customHeight="1" s="28">
      <c r="A1284" s="31" t="n"/>
      <c r="J1284" s="27">
        <f>SUMPRODUCT(COUNTIFS(확률!$J$2:$J$46, 원본!B1284:G1284, 확률!$M$2:$M$46, "&lt;=20"))</f>
        <v/>
      </c>
      <c r="K1284" s="27">
        <f>SUMPRODUCT(COUNTIFS(확률!$J$2:$J$46, 원본!B1284:G1284, 확률!$M$2:$M$46, "&gt;=36"))</f>
        <v/>
      </c>
      <c r="L1284" s="27">
        <f>6-J1284-K1284</f>
        <v/>
      </c>
    </row>
    <row r="1285" ht="13.8" customHeight="1" s="28">
      <c r="A1285" s="31" t="n"/>
      <c r="J1285" s="27">
        <f>SUMPRODUCT(COUNTIFS(확률!$J$2:$J$46, 원본!B1285:G1285, 확률!$M$2:$M$46, "&lt;=20"))</f>
        <v/>
      </c>
      <c r="K1285" s="27">
        <f>SUMPRODUCT(COUNTIFS(확률!$J$2:$J$46, 원본!B1285:G1285, 확률!$M$2:$M$46, "&gt;=36"))</f>
        <v/>
      </c>
      <c r="L1285" s="27">
        <f>6-J1285-K1285</f>
        <v/>
      </c>
    </row>
    <row r="1286" ht="13.8" customHeight="1" s="28">
      <c r="A1286" s="31" t="n"/>
      <c r="J1286" s="27">
        <f>SUMPRODUCT(COUNTIFS(확률!$J$2:$J$46, 원본!B1286:G1286, 확률!$M$2:$M$46, "&lt;=20"))</f>
        <v/>
      </c>
      <c r="K1286" s="27">
        <f>SUMPRODUCT(COUNTIFS(확률!$J$2:$J$46, 원본!B1286:G1286, 확률!$M$2:$M$46, "&gt;=36"))</f>
        <v/>
      </c>
      <c r="L1286" s="27">
        <f>6-J1286-K1286</f>
        <v/>
      </c>
    </row>
    <row r="1287" ht="13.8" customHeight="1" s="28">
      <c r="A1287" s="31" t="n"/>
      <c r="J1287" s="27">
        <f>SUMPRODUCT(COUNTIFS(확률!$J$2:$J$46, 원본!B1287:G1287, 확률!$M$2:$M$46, "&lt;=20"))</f>
        <v/>
      </c>
      <c r="K1287" s="27">
        <f>SUMPRODUCT(COUNTIFS(확률!$J$2:$J$46, 원본!B1287:G1287, 확률!$M$2:$M$46, "&gt;=36"))</f>
        <v/>
      </c>
      <c r="L1287" s="27">
        <f>6-J1287-K1287</f>
        <v/>
      </c>
    </row>
    <row r="1288" ht="13.8" customHeight="1" s="28">
      <c r="A1288" s="31" t="n"/>
      <c r="J1288" s="27">
        <f>SUMPRODUCT(COUNTIFS(확률!$J$2:$J$46, 원본!B1288:G1288, 확률!$M$2:$M$46, "&lt;=20"))</f>
        <v/>
      </c>
      <c r="K1288" s="27">
        <f>SUMPRODUCT(COUNTIFS(확률!$J$2:$J$46, 원본!B1288:G1288, 확률!$M$2:$M$46, "&gt;=36"))</f>
        <v/>
      </c>
      <c r="L1288" s="27">
        <f>6-J1288-K1288</f>
        <v/>
      </c>
    </row>
    <row r="1289" ht="13.8" customHeight="1" s="28">
      <c r="A1289" s="31" t="n"/>
      <c r="J1289" s="27">
        <f>SUMPRODUCT(COUNTIFS(확률!$J$2:$J$46, 원본!B1289:G1289, 확률!$M$2:$M$46, "&lt;=20"))</f>
        <v/>
      </c>
      <c r="K1289" s="27">
        <f>SUMPRODUCT(COUNTIFS(확률!$J$2:$J$46, 원본!B1289:G1289, 확률!$M$2:$M$46, "&gt;=36"))</f>
        <v/>
      </c>
      <c r="L1289" s="27">
        <f>6-J1289-K1289</f>
        <v/>
      </c>
    </row>
    <row r="1290" ht="13.8" customHeight="1" s="28">
      <c r="A1290" s="31" t="n"/>
      <c r="J1290" s="27">
        <f>SUMPRODUCT(COUNTIFS(확률!$J$2:$J$46, 원본!B1290:G1290, 확률!$M$2:$M$46, "&lt;=20"))</f>
        <v/>
      </c>
      <c r="K1290" s="27">
        <f>SUMPRODUCT(COUNTIFS(확률!$J$2:$J$46, 원본!B1290:G1290, 확률!$M$2:$M$46, "&gt;=36"))</f>
        <v/>
      </c>
      <c r="L1290" s="27">
        <f>6-J1290-K1290</f>
        <v/>
      </c>
    </row>
    <row r="1291" ht="13.8" customHeight="1" s="28">
      <c r="A1291" s="31" t="n"/>
      <c r="J1291" s="27">
        <f>SUMPRODUCT(COUNTIFS(확률!$J$2:$J$46, 원본!B1291:G1291, 확률!$M$2:$M$46, "&lt;=20"))</f>
        <v/>
      </c>
      <c r="K1291" s="27">
        <f>SUMPRODUCT(COUNTIFS(확률!$J$2:$J$46, 원본!B1291:G1291, 확률!$M$2:$M$46, "&gt;=36"))</f>
        <v/>
      </c>
      <c r="L1291" s="27">
        <f>6-J1291-K1291</f>
        <v/>
      </c>
    </row>
    <row r="1292" ht="13.8" customHeight="1" s="28">
      <c r="A1292" s="31" t="n"/>
      <c r="J1292" s="27">
        <f>SUMPRODUCT(COUNTIFS(확률!$J$2:$J$46, 원본!B1292:G1292, 확률!$M$2:$M$46, "&lt;=20"))</f>
        <v/>
      </c>
      <c r="K1292" s="27">
        <f>SUMPRODUCT(COUNTIFS(확률!$J$2:$J$46, 원본!B1292:G1292, 확률!$M$2:$M$46, "&gt;=36"))</f>
        <v/>
      </c>
      <c r="L1292" s="27">
        <f>6-J1292-K1292</f>
        <v/>
      </c>
    </row>
    <row r="1293" ht="13.8" customHeight="1" s="28">
      <c r="A1293" s="31" t="n"/>
      <c r="J1293" s="27">
        <f>SUMPRODUCT(COUNTIFS(확률!$J$2:$J$46, 원본!B1293:G1293, 확률!$M$2:$M$46, "&lt;=20"))</f>
        <v/>
      </c>
      <c r="K1293" s="27">
        <f>SUMPRODUCT(COUNTIFS(확률!$J$2:$J$46, 원본!B1293:G1293, 확률!$M$2:$M$46, "&gt;=36"))</f>
        <v/>
      </c>
      <c r="L1293" s="27">
        <f>6-J1293-K1293</f>
        <v/>
      </c>
    </row>
    <row r="1294" ht="13.8" customHeight="1" s="28">
      <c r="A1294" s="31" t="n"/>
      <c r="J1294" s="27">
        <f>SUMPRODUCT(COUNTIFS(확률!$J$2:$J$46, 원본!B1294:G1294, 확률!$M$2:$M$46, "&lt;=20"))</f>
        <v/>
      </c>
      <c r="K1294" s="27">
        <f>SUMPRODUCT(COUNTIFS(확률!$J$2:$J$46, 원본!B1294:G1294, 확률!$M$2:$M$46, "&gt;=36"))</f>
        <v/>
      </c>
      <c r="L1294" s="27">
        <f>6-J1294-K1294</f>
        <v/>
      </c>
    </row>
    <row r="1295" ht="13.8" customHeight="1" s="28">
      <c r="A1295" s="31" t="n"/>
      <c r="J1295" s="27">
        <f>SUMPRODUCT(COUNTIFS(확률!$J$2:$J$46, 원본!B1295:G1295, 확률!$M$2:$M$46, "&lt;=20"))</f>
        <v/>
      </c>
      <c r="K1295" s="27">
        <f>SUMPRODUCT(COUNTIFS(확률!$J$2:$J$46, 원본!B1295:G1295, 확률!$M$2:$M$46, "&gt;=36"))</f>
        <v/>
      </c>
      <c r="L1295" s="27">
        <f>6-J1295-K1295</f>
        <v/>
      </c>
    </row>
    <row r="1296" ht="13.8" customHeight="1" s="28">
      <c r="A1296" s="31" t="n"/>
      <c r="J1296" s="27">
        <f>SUMPRODUCT(COUNTIFS(확률!$J$2:$J$46, 원본!B1296:G1296, 확률!$M$2:$M$46, "&lt;=20"))</f>
        <v/>
      </c>
      <c r="K1296" s="27">
        <f>SUMPRODUCT(COUNTIFS(확률!$J$2:$J$46, 원본!B1296:G1296, 확률!$M$2:$M$46, "&gt;=36"))</f>
        <v/>
      </c>
      <c r="L1296" s="27">
        <f>6-J1296-K1296</f>
        <v/>
      </c>
    </row>
    <row r="1297" ht="13.8" customHeight="1" s="28">
      <c r="A1297" s="31" t="n"/>
      <c r="J1297" s="27">
        <f>SUMPRODUCT(COUNTIFS(확률!$J$2:$J$46, 원본!B1297:G1297, 확률!$M$2:$M$46, "&lt;=20"))</f>
        <v/>
      </c>
      <c r="K1297" s="27">
        <f>SUMPRODUCT(COUNTIFS(확률!$J$2:$J$46, 원본!B1297:G1297, 확률!$M$2:$M$46, "&gt;=36"))</f>
        <v/>
      </c>
      <c r="L1297" s="27">
        <f>6-J1297-K1297</f>
        <v/>
      </c>
    </row>
    <row r="1298" ht="13.8" customHeight="1" s="28">
      <c r="A1298" s="31" t="n"/>
      <c r="J1298" s="27">
        <f>SUMPRODUCT(COUNTIFS(확률!$J$2:$J$46, 원본!B1298:G1298, 확률!$M$2:$M$46, "&lt;=20"))</f>
        <v/>
      </c>
      <c r="K1298" s="27">
        <f>SUMPRODUCT(COUNTIFS(확률!$J$2:$J$46, 원본!B1298:G1298, 확률!$M$2:$M$46, "&gt;=36"))</f>
        <v/>
      </c>
      <c r="L1298" s="27">
        <f>6-J1298-K1298</f>
        <v/>
      </c>
    </row>
    <row r="1299" ht="13.8" customHeight="1" s="28">
      <c r="A1299" s="31" t="n"/>
      <c r="J1299" s="27">
        <f>SUMPRODUCT(COUNTIFS(확률!$J$2:$J$46, 원본!B1299:G1299, 확률!$M$2:$M$46, "&lt;=20"))</f>
        <v/>
      </c>
      <c r="K1299" s="27">
        <f>SUMPRODUCT(COUNTIFS(확률!$J$2:$J$46, 원본!B1299:G1299, 확률!$M$2:$M$46, "&gt;=36"))</f>
        <v/>
      </c>
      <c r="L1299" s="27">
        <f>6-J1299-K1299</f>
        <v/>
      </c>
    </row>
    <row r="1300" ht="13.8" customHeight="1" s="28">
      <c r="J1300" s="27">
        <f>SUMPRODUCT(COUNTIFS(확률!$J$2:$J$46, 원본!B1300:G1300, 확률!$M$2:$M$46, "&lt;=20"))</f>
        <v/>
      </c>
      <c r="K1300" s="27">
        <f>SUMPRODUCT(COUNTIFS(확률!$J$2:$J$46, 원본!B1300:G1300, 확률!$M$2:$M$46, "&gt;=36"))</f>
        <v/>
      </c>
      <c r="L1300" s="27">
        <f>6-J1300-K1300</f>
        <v/>
      </c>
    </row>
    <row r="1301" ht="13.8" customHeight="1" s="28">
      <c r="J1301" s="27">
        <f>SUMPRODUCT(COUNTIFS(확률!$J$2:$J$46, 원본!B1301:G1301, 확률!$M$2:$M$46, "&lt;=20"))</f>
        <v/>
      </c>
      <c r="K1301" s="27">
        <f>SUMPRODUCT(COUNTIFS(확률!$J$2:$J$46, 원본!B1301:G1301, 확률!$M$2:$M$46, "&gt;=36"))</f>
        <v/>
      </c>
      <c r="L1301" s="27">
        <f>6-J1301-K1301</f>
        <v/>
      </c>
    </row>
  </sheetData>
  <conditionalFormatting sqref="B2:H1299">
    <cfRule type="cellIs" rank="0" priority="2" equalAverage="0" operator="between" aboveAverage="0" dxfId="0" text="" percent="0" bottom="0">
      <formula>1</formula>
      <formula>5</formula>
    </cfRule>
    <cfRule type="cellIs" rank="0" priority="3" equalAverage="0" operator="between" aboveAverage="0" dxfId="1" text="" percent="0" bottom="0">
      <formula>6</formula>
      <formula>10</formula>
    </cfRule>
    <cfRule type="cellIs" rank="0" priority="4" equalAverage="0" operator="between" aboveAverage="0" dxfId="2" text="" percent="0" bottom="0">
      <formula>11</formula>
      <formula>15</formula>
    </cfRule>
    <cfRule type="cellIs" rank="0" priority="5" equalAverage="0" operator="between" aboveAverage="0" dxfId="3" text="" percent="0" bottom="0">
      <formula>16</formula>
      <formula>20</formula>
    </cfRule>
    <cfRule type="cellIs" rank="0" priority="6" equalAverage="0" operator="between" aboveAverage="0" dxfId="4" text="" percent="0" bottom="0">
      <formula>21</formula>
      <formula>25</formula>
    </cfRule>
    <cfRule type="cellIs" rank="0" priority="7" equalAverage="0" operator="between" aboveAverage="0" dxfId="5" text="" percent="0" bottom="0">
      <formula>26</formula>
      <formula>30</formula>
    </cfRule>
    <cfRule type="cellIs" rank="0" priority="8" equalAverage="0" operator="between" aboveAverage="0" dxfId="6" text="" percent="0" bottom="0">
      <formula>31</formula>
      <formula>35</formula>
    </cfRule>
    <cfRule type="cellIs" rank="0" priority="9" equalAverage="0" operator="between" aboveAverage="0" dxfId="7" text="" percent="0" bottom="0">
      <formula>41</formula>
      <formula>45</formula>
    </cfRule>
    <cfRule type="cellIs" rank="0" priority="10" equalAverage="0" operator="between" aboveAverage="0" dxfId="8" text="" percent="0" bottom="0">
      <formula>36</formula>
      <formula>40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28" activeCellId="0" sqref="N28"/>
    </sheetView>
  </sheetViews>
  <sheetFormatPr baseColWidth="8" defaultRowHeight="13.8" zeroHeight="0" outlineLevelRow="0"/>
  <cols>
    <col width="8.619999999999999" customWidth="1" style="27" min="1" max="14"/>
    <col width="8.85" customWidth="1" style="27" min="15" max="15"/>
    <col width="8.619999999999999" customWidth="1" style="27" min="16" max="1025"/>
  </cols>
  <sheetData>
    <row r="1" ht="17.25" customHeight="1" s="28">
      <c r="A1" s="32" t="n"/>
      <c r="B1" s="33" t="n">
        <v>1</v>
      </c>
      <c r="C1" s="34" t="n">
        <v>2</v>
      </c>
      <c r="D1" s="34" t="n">
        <v>3</v>
      </c>
      <c r="E1" s="34" t="n">
        <v>4</v>
      </c>
      <c r="F1" s="34" t="n">
        <v>5</v>
      </c>
      <c r="G1" s="34" t="n">
        <v>6</v>
      </c>
      <c r="H1" s="35" t="inlineStr">
        <is>
          <t>+</t>
        </is>
      </c>
      <c r="J1" s="27" t="inlineStr">
        <is>
          <t>번호</t>
        </is>
      </c>
      <c r="K1" s="27" t="inlineStr">
        <is>
          <t>출현 횟수</t>
        </is>
      </c>
      <c r="M1" s="27" t="inlineStr">
        <is>
          <t>출현 순위</t>
        </is>
      </c>
    </row>
    <row r="2" ht="16.5" customHeight="1" s="28">
      <c r="A2" s="36" t="n">
        <v>1</v>
      </c>
      <c r="B2" s="37">
        <f>IF(COUNTIF(원본!$B$2:$B$10000,$A2)=0," ",COUNTIF(원본!$B$2:$B$10000,$A2))</f>
        <v/>
      </c>
      <c r="C2" s="38">
        <f>IF(COUNTIF(원본!$C$2:$C$10000,$A2)=0," ",COUNTIF(원본!$C$2:$C$10000,$A2))</f>
        <v/>
      </c>
      <c r="D2" s="38">
        <f>IF(COUNTIF(원본!$D$2:$D$10000,$A2)=0," ",COUNTIF(원본!$D$2:$D$10000,$A2))</f>
        <v/>
      </c>
      <c r="E2" s="38">
        <f>IF(COUNTIF(원본!$E$2:$E$10000,$A2)=0," ",COUNTIF(원본!$E$2:$E$10000,$A2))</f>
        <v/>
      </c>
      <c r="F2" s="38">
        <f>IF(COUNTIF(원본!$F$2:$F$10000,$A2)=0," ",COUNTIF(원본!$F$2:$F$10000,$A2))</f>
        <v/>
      </c>
      <c r="G2" s="38">
        <f>IF(COUNTIF(원본!$G$2:$G$10000,$A2)=0," ",COUNTIF(원본!$G$2:$G$10000,$A2))</f>
        <v/>
      </c>
      <c r="H2" s="39">
        <f>IF(COUNTIF(원본!$H$2:$H$10000,$A2)=0," ",COUNTIF(원본!$H$2:$H$10000,$A2))</f>
        <v/>
      </c>
      <c r="J2" s="37" t="n">
        <v>1</v>
      </c>
      <c r="K2" s="38">
        <f>SUM(B2:G2)</f>
        <v/>
      </c>
      <c r="L2" s="27">
        <f>K2/SUM($K$2:$K$46)</f>
        <v/>
      </c>
      <c r="M2" s="39">
        <f>RANK(K2,$K$2:$K$46)</f>
        <v/>
      </c>
    </row>
    <row r="3" ht="16.5" customHeight="1" s="28">
      <c r="A3" s="40" t="n">
        <v>2</v>
      </c>
      <c r="B3" s="41">
        <f>IF(COUNTIF(원본!$B$2:$B$10000,$A3)=0," ",COUNTIF(원본!$B$2:$B$10000,$A3))</f>
        <v/>
      </c>
      <c r="C3" s="42">
        <f>IF(COUNTIF(원본!$C$2:$C$10000,$A3)=0," ",COUNTIF(원본!$C$2:$C$10000,$A3))</f>
        <v/>
      </c>
      <c r="D3" s="42">
        <f>IF(COUNTIF(원본!$D$2:$D$10000,$A3)=0," ",COUNTIF(원본!$D$2:$D$10000,$A3))</f>
        <v/>
      </c>
      <c r="E3" s="42">
        <f>IF(COUNTIF(원본!$E$2:$E$10000,$A3)=0," ",COUNTIF(원본!$E$2:$E$10000,$A3))</f>
        <v/>
      </c>
      <c r="F3" s="42">
        <f>IF(COUNTIF(원본!$F$2:$F$10000,$A3)=0," ",COUNTIF(원본!$F$2:$F$10000,$A3))</f>
        <v/>
      </c>
      <c r="G3" s="42">
        <f>IF(COUNTIF(원본!$G$2:$G$10000,$A3)=0," ",COUNTIF(원본!$G$2:$G$10000,$A3))</f>
        <v/>
      </c>
      <c r="H3" s="43">
        <f>IF(COUNTIF(원본!$H$2:$H$10000,$A3)=0," ",COUNTIF(원본!$H$2:$H$10000,$A3))</f>
        <v/>
      </c>
      <c r="J3" s="41" t="n">
        <v>2</v>
      </c>
      <c r="K3" s="42">
        <f>SUM(B3:G3)</f>
        <v/>
      </c>
      <c r="L3" s="27">
        <f>K3/SUM($K$2:$K$46)</f>
        <v/>
      </c>
      <c r="M3" s="43">
        <f>RANK(K3,$K$2:$K$46)</f>
        <v/>
      </c>
    </row>
    <row r="4" ht="16.5" customHeight="1" s="28">
      <c r="A4" s="40" t="n">
        <v>3</v>
      </c>
      <c r="B4" s="41">
        <f>IF(COUNTIF(원본!$B$2:$B$10000,$A4)=0," ",COUNTIF(원본!$B$2:$B$10000,$A4))</f>
        <v/>
      </c>
      <c r="C4" s="42">
        <f>IF(COUNTIF(원본!$C$2:$C$10000,$A4)=0," ",COUNTIF(원본!$C$2:$C$10000,$A4))</f>
        <v/>
      </c>
      <c r="D4" s="42">
        <f>IF(COUNTIF(원본!$D$2:$D$10000,$A4)=0," ",COUNTIF(원본!$D$2:$D$10000,$A4))</f>
        <v/>
      </c>
      <c r="E4" s="42">
        <f>IF(COUNTIF(원본!$E$2:$E$10000,$A4)=0," ",COUNTIF(원본!$E$2:$E$10000,$A4))</f>
        <v/>
      </c>
      <c r="F4" s="42">
        <f>IF(COUNTIF(원본!$F$2:$F$10000,$A4)=0," ",COUNTIF(원본!$F$2:$F$10000,$A4))</f>
        <v/>
      </c>
      <c r="G4" s="42">
        <f>IF(COUNTIF(원본!$G$2:$G$10000,$A4)=0," ",COUNTIF(원본!$G$2:$G$10000,$A4))</f>
        <v/>
      </c>
      <c r="H4" s="43">
        <f>IF(COUNTIF(원본!$H$2:$H$10000,$A4)=0," ",COUNTIF(원본!$H$2:$H$10000,$A4))</f>
        <v/>
      </c>
      <c r="J4" s="41" t="n">
        <v>3</v>
      </c>
      <c r="K4" s="42">
        <f>SUM(B4:G4)</f>
        <v/>
      </c>
      <c r="L4" s="27">
        <f>K4/SUM($K$2:$K$46)</f>
        <v/>
      </c>
      <c r="M4" s="43">
        <f>RANK(K4,$K$2:$K$46)</f>
        <v/>
      </c>
    </row>
    <row r="5" ht="16.5" customHeight="1" s="28">
      <c r="A5" s="40" t="n">
        <v>4</v>
      </c>
      <c r="B5" s="41">
        <f>IF(COUNTIF(원본!$B$2:$B$10000,$A5)=0," ",COUNTIF(원본!$B$2:$B$10000,$A5))</f>
        <v/>
      </c>
      <c r="C5" s="42">
        <f>IF(COUNTIF(원본!$C$2:$C$10000,$A5)=0," ",COUNTIF(원본!$C$2:$C$10000,$A5))</f>
        <v/>
      </c>
      <c r="D5" s="42">
        <f>IF(COUNTIF(원본!$D$2:$D$10000,$A5)=0," ",COUNTIF(원본!$D$2:$D$10000,$A5))</f>
        <v/>
      </c>
      <c r="E5" s="42">
        <f>IF(COUNTIF(원본!$E$2:$E$10000,$A5)=0," ",COUNTIF(원본!$E$2:$E$10000,$A5))</f>
        <v/>
      </c>
      <c r="F5" s="42">
        <f>IF(COUNTIF(원본!$F$2:$F$10000,$A5)=0," ",COUNTIF(원본!$F$2:$F$10000,$A5))</f>
        <v/>
      </c>
      <c r="G5" s="42">
        <f>IF(COUNTIF(원본!$G$2:$G$10000,$A5)=0," ",COUNTIF(원본!$G$2:$G$10000,$A5))</f>
        <v/>
      </c>
      <c r="H5" s="43">
        <f>IF(COUNTIF(원본!$H$2:$H$10000,$A5)=0," ",COUNTIF(원본!$H$2:$H$10000,$A5))</f>
        <v/>
      </c>
      <c r="J5" s="41" t="n">
        <v>4</v>
      </c>
      <c r="K5" s="42">
        <f>SUM(B5:G5)</f>
        <v/>
      </c>
      <c r="L5" s="27">
        <f>K5/SUM($K$2:$K$46)</f>
        <v/>
      </c>
      <c r="M5" s="43">
        <f>RANK(K5,$K$2:$K$46)</f>
        <v/>
      </c>
    </row>
    <row r="6" ht="16.5" customHeight="1" s="28">
      <c r="A6" s="40" t="n">
        <v>5</v>
      </c>
      <c r="B6" s="41">
        <f>IF(COUNTIF(원본!$B$2:$B$10000,$A6)=0," ",COUNTIF(원본!$B$2:$B$10000,$A6))</f>
        <v/>
      </c>
      <c r="C6" s="42">
        <f>IF(COUNTIF(원본!$C$2:$C$10000,$A6)=0," ",COUNTIF(원본!$C$2:$C$10000,$A6))</f>
        <v/>
      </c>
      <c r="D6" s="42">
        <f>IF(COUNTIF(원본!$D$2:$D$10000,$A6)=0," ",COUNTIF(원본!$D$2:$D$10000,$A6))</f>
        <v/>
      </c>
      <c r="E6" s="42">
        <f>IF(COUNTIF(원본!$E$2:$E$10000,$A6)=0," ",COUNTIF(원본!$E$2:$E$10000,$A6))</f>
        <v/>
      </c>
      <c r="F6" s="42">
        <f>IF(COUNTIF(원본!$F$2:$F$10000,$A6)=0," ",COUNTIF(원본!$F$2:$F$10000,$A6))</f>
        <v/>
      </c>
      <c r="G6" s="42">
        <f>IF(COUNTIF(원본!$G$2:$G$10000,$A6)=0," ",COUNTIF(원본!$G$2:$G$10000,$A6))</f>
        <v/>
      </c>
      <c r="H6" s="43">
        <f>IF(COUNTIF(원본!$H$2:$H$10000,$A6)=0," ",COUNTIF(원본!$H$2:$H$10000,$A6))</f>
        <v/>
      </c>
      <c r="J6" s="41" t="n">
        <v>5</v>
      </c>
      <c r="K6" s="42">
        <f>SUM(B6:G6)</f>
        <v/>
      </c>
      <c r="L6" s="27">
        <f>K6/SUM($K$2:$K$46)</f>
        <v/>
      </c>
      <c r="M6" s="43">
        <f>RANK(K6,$K$2:$K$46)</f>
        <v/>
      </c>
    </row>
    <row r="7" ht="16.5" customHeight="1" s="28">
      <c r="A7" s="40" t="n">
        <v>6</v>
      </c>
      <c r="B7" s="41">
        <f>IF(COUNTIF(원본!$B$2:$B$10000,$A7)=0," ",COUNTIF(원본!$B$2:$B$10000,$A7))</f>
        <v/>
      </c>
      <c r="C7" s="42">
        <f>IF(COUNTIF(원본!$C$2:$C$10000,$A7)=0," ",COUNTIF(원본!$C$2:$C$10000,$A7))</f>
        <v/>
      </c>
      <c r="D7" s="42">
        <f>IF(COUNTIF(원본!$D$2:$D$10000,$A7)=0," ",COUNTIF(원본!$D$2:$D$10000,$A7))</f>
        <v/>
      </c>
      <c r="E7" s="42">
        <f>IF(COUNTIF(원본!$E$2:$E$10000,$A7)=0," ",COUNTIF(원본!$E$2:$E$10000,$A7))</f>
        <v/>
      </c>
      <c r="F7" s="42">
        <f>IF(COUNTIF(원본!$F$2:$F$10000,$A7)=0," ",COUNTIF(원본!$F$2:$F$10000,$A7))</f>
        <v/>
      </c>
      <c r="G7" s="42">
        <f>IF(COUNTIF(원본!$G$2:$G$10000,$A7)=0," ",COUNTIF(원본!$G$2:$G$10000,$A7))</f>
        <v/>
      </c>
      <c r="H7" s="43">
        <f>IF(COUNTIF(원본!$H$2:$H$10000,$A7)=0," ",COUNTIF(원본!$H$2:$H$10000,$A7))</f>
        <v/>
      </c>
      <c r="J7" s="41" t="n">
        <v>6</v>
      </c>
      <c r="K7" s="42">
        <f>SUM(B7:G7)</f>
        <v/>
      </c>
      <c r="L7" s="27">
        <f>K7/SUM($K$2:$K$46)</f>
        <v/>
      </c>
      <c r="M7" s="43">
        <f>RANK(K7,$K$2:$K$46)</f>
        <v/>
      </c>
    </row>
    <row r="8" ht="16.5" customHeight="1" s="28">
      <c r="A8" s="40" t="n">
        <v>7</v>
      </c>
      <c r="B8" s="41">
        <f>IF(COUNTIF(원본!$B$2:$B$10000,$A8)=0," ",COUNTIF(원본!$B$2:$B$10000,$A8))</f>
        <v/>
      </c>
      <c r="C8" s="42">
        <f>IF(COUNTIF(원본!$C$2:$C$10000,$A8)=0," ",COUNTIF(원본!$C$2:$C$10000,$A8))</f>
        <v/>
      </c>
      <c r="D8" s="42">
        <f>IF(COUNTIF(원본!$D$2:$D$10000,$A8)=0," ",COUNTIF(원본!$D$2:$D$10000,$A8))</f>
        <v/>
      </c>
      <c r="E8" s="42">
        <f>IF(COUNTIF(원본!$E$2:$E$10000,$A8)=0," ",COUNTIF(원본!$E$2:$E$10000,$A8))</f>
        <v/>
      </c>
      <c r="F8" s="42">
        <f>IF(COUNTIF(원본!$F$2:$F$10000,$A8)=0," ",COUNTIF(원본!$F$2:$F$10000,$A8))</f>
        <v/>
      </c>
      <c r="G8" s="42">
        <f>IF(COUNTIF(원본!$G$2:$G$10000,$A8)=0," ",COUNTIF(원본!$G$2:$G$10000,$A8))</f>
        <v/>
      </c>
      <c r="H8" s="43">
        <f>IF(COUNTIF(원본!$H$2:$H$10000,$A8)=0," ",COUNTIF(원본!$H$2:$H$10000,$A8))</f>
        <v/>
      </c>
      <c r="J8" s="41" t="n">
        <v>7</v>
      </c>
      <c r="K8" s="42">
        <f>SUM(B8:G8)</f>
        <v/>
      </c>
      <c r="L8" s="27">
        <f>K8/SUM($K$2:$K$46)</f>
        <v/>
      </c>
      <c r="M8" s="43">
        <f>RANK(K8,$K$2:$K$46)</f>
        <v/>
      </c>
    </row>
    <row r="9" ht="16.5" customHeight="1" s="28">
      <c r="A9" s="40" t="n">
        <v>8</v>
      </c>
      <c r="B9" s="41">
        <f>IF(COUNTIF(원본!$B$2:$B$10000,$A9)=0," ",COUNTIF(원본!$B$2:$B$10000,$A9))</f>
        <v/>
      </c>
      <c r="C9" s="42">
        <f>IF(COUNTIF(원본!$C$2:$C$10000,$A9)=0," ",COUNTIF(원본!$C$2:$C$10000,$A9))</f>
        <v/>
      </c>
      <c r="D9" s="42">
        <f>IF(COUNTIF(원본!$D$2:$D$10000,$A9)=0," ",COUNTIF(원본!$D$2:$D$10000,$A9))</f>
        <v/>
      </c>
      <c r="E9" s="42">
        <f>IF(COUNTIF(원본!$E$2:$E$10000,$A9)=0," ",COUNTIF(원본!$E$2:$E$10000,$A9))</f>
        <v/>
      </c>
      <c r="F9" s="42">
        <f>IF(COUNTIF(원본!$F$2:$F$10000,$A9)=0," ",COUNTIF(원본!$F$2:$F$10000,$A9))</f>
        <v/>
      </c>
      <c r="G9" s="42">
        <f>IF(COUNTIF(원본!$G$2:$G$10000,$A9)=0," ",COUNTIF(원본!$G$2:$G$10000,$A9))</f>
        <v/>
      </c>
      <c r="H9" s="43">
        <f>IF(COUNTIF(원본!$H$2:$H$10000,$A9)=0," ",COUNTIF(원본!$H$2:$H$10000,$A9))</f>
        <v/>
      </c>
      <c r="J9" s="41" t="n">
        <v>8</v>
      </c>
      <c r="K9" s="42">
        <f>SUM(B9:G9)</f>
        <v/>
      </c>
      <c r="L9" s="27">
        <f>K9/SUM($K$2:$K$46)</f>
        <v/>
      </c>
      <c r="M9" s="43">
        <f>RANK(K9,$K$2:$K$46)</f>
        <v/>
      </c>
    </row>
    <row r="10" ht="16.5" customHeight="1" s="28">
      <c r="A10" s="40" t="n">
        <v>9</v>
      </c>
      <c r="B10" s="41">
        <f>IF(COUNTIF(원본!$B$2:$B$10000,$A10)=0," ",COUNTIF(원본!$B$2:$B$10000,$A10))</f>
        <v/>
      </c>
      <c r="C10" s="42">
        <f>IF(COUNTIF(원본!$C$2:$C$10000,$A10)=0," ",COUNTIF(원본!$C$2:$C$10000,$A10))</f>
        <v/>
      </c>
      <c r="D10" s="42">
        <f>IF(COUNTIF(원본!$D$2:$D$10000,$A10)=0," ",COUNTIF(원본!$D$2:$D$10000,$A10))</f>
        <v/>
      </c>
      <c r="E10" s="42">
        <f>IF(COUNTIF(원본!$E$2:$E$10000,$A10)=0," ",COUNTIF(원본!$E$2:$E$10000,$A10))</f>
        <v/>
      </c>
      <c r="F10" s="42">
        <f>IF(COUNTIF(원본!$F$2:$F$10000,$A10)=0," ",COUNTIF(원본!$F$2:$F$10000,$A10))</f>
        <v/>
      </c>
      <c r="G10" s="42">
        <f>IF(COUNTIF(원본!$G$2:$G$10000,$A10)=0," ",COUNTIF(원본!$G$2:$G$10000,$A10))</f>
        <v/>
      </c>
      <c r="H10" s="43">
        <f>IF(COUNTIF(원본!$H$2:$H$10000,$A10)=0," ",COUNTIF(원본!$H$2:$H$10000,$A10))</f>
        <v/>
      </c>
      <c r="J10" s="41" t="n">
        <v>9</v>
      </c>
      <c r="K10" s="42">
        <f>SUM(B10:G10)</f>
        <v/>
      </c>
      <c r="L10" s="27">
        <f>K10/SUM($K$2:$K$46)</f>
        <v/>
      </c>
      <c r="M10" s="43">
        <f>RANK(K10,$K$2:$K$46)</f>
        <v/>
      </c>
    </row>
    <row r="11" ht="16.5" customHeight="1" s="28">
      <c r="A11" s="40" t="n">
        <v>10</v>
      </c>
      <c r="B11" s="41">
        <f>IF(COUNTIF(원본!$B$2:$B$10000,$A11)=0," ",COUNTIF(원본!$B$2:$B$10000,$A11))</f>
        <v/>
      </c>
      <c r="C11" s="42">
        <f>IF(COUNTIF(원본!$C$2:$C$10000,$A11)=0," ",COUNTIF(원본!$C$2:$C$10000,$A11))</f>
        <v/>
      </c>
      <c r="D11" s="42">
        <f>IF(COUNTIF(원본!$D$2:$D$10000,$A11)=0," ",COUNTIF(원본!$D$2:$D$10000,$A11))</f>
        <v/>
      </c>
      <c r="E11" s="42">
        <f>IF(COUNTIF(원본!$E$2:$E$10000,$A11)=0," ",COUNTIF(원본!$E$2:$E$10000,$A11))</f>
        <v/>
      </c>
      <c r="F11" s="42">
        <f>IF(COUNTIF(원본!$F$2:$F$10000,$A11)=0," ",COUNTIF(원본!$F$2:$F$10000,$A11))</f>
        <v/>
      </c>
      <c r="G11" s="42">
        <f>IF(COUNTIF(원본!$G$2:$G$10000,$A11)=0," ",COUNTIF(원본!$G$2:$G$10000,$A11))</f>
        <v/>
      </c>
      <c r="H11" s="43">
        <f>IF(COUNTIF(원본!$H$2:$H$10000,$A11)=0," ",COUNTIF(원본!$H$2:$H$10000,$A11))</f>
        <v/>
      </c>
      <c r="J11" s="41" t="n">
        <v>10</v>
      </c>
      <c r="K11" s="42">
        <f>SUM(B11:G11)</f>
        <v/>
      </c>
      <c r="L11" s="27">
        <f>K11/SUM($K$2:$K$46)</f>
        <v/>
      </c>
      <c r="M11" s="43">
        <f>RANK(K11,$K$2:$K$46)</f>
        <v/>
      </c>
    </row>
    <row r="12" ht="16.5" customHeight="1" s="28">
      <c r="A12" s="40" t="n">
        <v>11</v>
      </c>
      <c r="B12" s="41">
        <f>IF(COUNTIF(원본!$B$2:$B$10000,$A12)=0," ",COUNTIF(원본!$B$2:$B$10000,$A12))</f>
        <v/>
      </c>
      <c r="C12" s="42">
        <f>IF(COUNTIF(원본!$C$2:$C$10000,$A12)=0," ",COUNTIF(원본!$C$2:$C$10000,$A12))</f>
        <v/>
      </c>
      <c r="D12" s="42">
        <f>IF(COUNTIF(원본!$D$2:$D$10000,$A12)=0," ",COUNTIF(원본!$D$2:$D$10000,$A12))</f>
        <v/>
      </c>
      <c r="E12" s="42">
        <f>IF(COUNTIF(원본!$E$2:$E$10000,$A12)=0," ",COUNTIF(원본!$E$2:$E$10000,$A12))</f>
        <v/>
      </c>
      <c r="F12" s="42">
        <f>IF(COUNTIF(원본!$F$2:$F$10000,$A12)=0," ",COUNTIF(원본!$F$2:$F$10000,$A12))</f>
        <v/>
      </c>
      <c r="G12" s="42">
        <f>IF(COUNTIF(원본!$G$2:$G$10000,$A12)=0," ",COUNTIF(원본!$G$2:$G$10000,$A12))</f>
        <v/>
      </c>
      <c r="H12" s="43">
        <f>IF(COUNTIF(원본!$H$2:$H$10000,$A12)=0," ",COUNTIF(원본!$H$2:$H$10000,$A12))</f>
        <v/>
      </c>
      <c r="J12" s="41" t="n">
        <v>11</v>
      </c>
      <c r="K12" s="42">
        <f>SUM(B12:G12)</f>
        <v/>
      </c>
      <c r="L12" s="27">
        <f>K12/SUM($K$2:$K$46)</f>
        <v/>
      </c>
      <c r="M12" s="43">
        <f>RANK(K12,$K$2:$K$46)</f>
        <v/>
      </c>
    </row>
    <row r="13" ht="16.5" customHeight="1" s="28">
      <c r="A13" s="40" t="n">
        <v>12</v>
      </c>
      <c r="B13" s="41">
        <f>IF(COUNTIF(원본!$B$2:$B$10000,$A13)=0," ",COUNTIF(원본!$B$2:$B$10000,$A13))</f>
        <v/>
      </c>
      <c r="C13" s="42">
        <f>IF(COUNTIF(원본!$C$2:$C$10000,$A13)=0," ",COUNTIF(원본!$C$2:$C$10000,$A13))</f>
        <v/>
      </c>
      <c r="D13" s="42">
        <f>IF(COUNTIF(원본!$D$2:$D$10000,$A13)=0," ",COUNTIF(원본!$D$2:$D$10000,$A13))</f>
        <v/>
      </c>
      <c r="E13" s="42">
        <f>IF(COUNTIF(원본!$E$2:$E$10000,$A13)=0," ",COUNTIF(원본!$E$2:$E$10000,$A13))</f>
        <v/>
      </c>
      <c r="F13" s="42">
        <f>IF(COUNTIF(원본!$F$2:$F$10000,$A13)=0," ",COUNTIF(원본!$F$2:$F$10000,$A13))</f>
        <v/>
      </c>
      <c r="G13" s="42">
        <f>IF(COUNTIF(원본!$G$2:$G$10000,$A13)=0," ",COUNTIF(원본!$G$2:$G$10000,$A13))</f>
        <v/>
      </c>
      <c r="H13" s="43">
        <f>IF(COUNTIF(원본!$H$2:$H$10000,$A13)=0," ",COUNTIF(원본!$H$2:$H$10000,$A13))</f>
        <v/>
      </c>
      <c r="J13" s="41" t="n">
        <v>12</v>
      </c>
      <c r="K13" s="42">
        <f>SUM(B13:G13)</f>
        <v/>
      </c>
      <c r="L13" s="27">
        <f>K13/SUM($K$2:$K$46)</f>
        <v/>
      </c>
      <c r="M13" s="43">
        <f>RANK(K13,$K$2:$K$46)</f>
        <v/>
      </c>
    </row>
    <row r="14" ht="16.5" customHeight="1" s="28">
      <c r="A14" s="40" t="n">
        <v>13</v>
      </c>
      <c r="B14" s="41">
        <f>IF(COUNTIF(원본!$B$2:$B$10000,$A14)=0," ",COUNTIF(원본!$B$2:$B$10000,$A14))</f>
        <v/>
      </c>
      <c r="C14" s="42">
        <f>IF(COUNTIF(원본!$C$2:$C$10000,$A14)=0," ",COUNTIF(원본!$C$2:$C$10000,$A14))</f>
        <v/>
      </c>
      <c r="D14" s="42">
        <f>IF(COUNTIF(원본!$D$2:$D$10000,$A14)=0," ",COUNTIF(원본!$D$2:$D$10000,$A14))</f>
        <v/>
      </c>
      <c r="E14" s="42">
        <f>IF(COUNTIF(원본!$E$2:$E$10000,$A14)=0," ",COUNTIF(원본!$E$2:$E$10000,$A14))</f>
        <v/>
      </c>
      <c r="F14" s="42">
        <f>IF(COUNTIF(원본!$F$2:$F$10000,$A14)=0," ",COUNTIF(원본!$F$2:$F$10000,$A14))</f>
        <v/>
      </c>
      <c r="G14" s="42">
        <f>IF(COUNTIF(원본!$G$2:$G$10000,$A14)=0," ",COUNTIF(원본!$G$2:$G$10000,$A14))</f>
        <v/>
      </c>
      <c r="H14" s="43">
        <f>IF(COUNTIF(원본!$H$2:$H$10000,$A14)=0," ",COUNTIF(원본!$H$2:$H$10000,$A14))</f>
        <v/>
      </c>
      <c r="J14" s="41" t="n">
        <v>13</v>
      </c>
      <c r="K14" s="42">
        <f>SUM(B14:G14)</f>
        <v/>
      </c>
      <c r="L14" s="27">
        <f>K14/SUM($K$2:$K$46)</f>
        <v/>
      </c>
      <c r="M14" s="43">
        <f>RANK(K14,$K$2:$K$46)</f>
        <v/>
      </c>
    </row>
    <row r="15" ht="16.5" customHeight="1" s="28">
      <c r="A15" s="40" t="n">
        <v>14</v>
      </c>
      <c r="B15" s="41">
        <f>IF(COUNTIF(원본!$B$2:$B$10000,$A15)=0," ",COUNTIF(원본!$B$2:$B$10000,$A15))</f>
        <v/>
      </c>
      <c r="C15" s="42">
        <f>IF(COUNTIF(원본!$C$2:$C$10000,$A15)=0," ",COUNTIF(원본!$C$2:$C$10000,$A15))</f>
        <v/>
      </c>
      <c r="D15" s="42">
        <f>IF(COUNTIF(원본!$D$2:$D$10000,$A15)=0," ",COUNTIF(원본!$D$2:$D$10000,$A15))</f>
        <v/>
      </c>
      <c r="E15" s="42">
        <f>IF(COUNTIF(원본!$E$2:$E$10000,$A15)=0," ",COUNTIF(원본!$E$2:$E$10000,$A15))</f>
        <v/>
      </c>
      <c r="F15" s="42">
        <f>IF(COUNTIF(원본!$F$2:$F$10000,$A15)=0," ",COUNTIF(원본!$F$2:$F$10000,$A15))</f>
        <v/>
      </c>
      <c r="G15" s="42">
        <f>IF(COUNTIF(원본!$G$2:$G$10000,$A15)=0," ",COUNTIF(원본!$G$2:$G$10000,$A15))</f>
        <v/>
      </c>
      <c r="H15" s="43">
        <f>IF(COUNTIF(원본!$H$2:$H$10000,$A15)=0," ",COUNTIF(원본!$H$2:$H$10000,$A15))</f>
        <v/>
      </c>
      <c r="J15" s="41" t="n">
        <v>14</v>
      </c>
      <c r="K15" s="42">
        <f>SUM(B15:G15)</f>
        <v/>
      </c>
      <c r="L15" s="27">
        <f>K15/SUM($K$2:$K$46)</f>
        <v/>
      </c>
      <c r="M15" s="43">
        <f>RANK(K15,$K$2:$K$46)</f>
        <v/>
      </c>
    </row>
    <row r="16" ht="16.5" customHeight="1" s="28">
      <c r="A16" s="40" t="n">
        <v>15</v>
      </c>
      <c r="B16" s="41">
        <f>IF(COUNTIF(원본!$B$2:$B$10000,$A16)=0," ",COUNTIF(원본!$B$2:$B$10000,$A16))</f>
        <v/>
      </c>
      <c r="C16" s="42">
        <f>IF(COUNTIF(원본!$C$2:$C$10000,$A16)=0," ",COUNTIF(원본!$C$2:$C$10000,$A16))</f>
        <v/>
      </c>
      <c r="D16" s="42">
        <f>IF(COUNTIF(원본!$D$2:$D$10000,$A16)=0," ",COUNTIF(원본!$D$2:$D$10000,$A16))</f>
        <v/>
      </c>
      <c r="E16" s="42">
        <f>IF(COUNTIF(원본!$E$2:$E$10000,$A16)=0," ",COUNTIF(원본!$E$2:$E$10000,$A16))</f>
        <v/>
      </c>
      <c r="F16" s="42">
        <f>IF(COUNTIF(원본!$F$2:$F$10000,$A16)=0," ",COUNTIF(원본!$F$2:$F$10000,$A16))</f>
        <v/>
      </c>
      <c r="G16" s="42">
        <f>IF(COUNTIF(원본!$G$2:$G$10000,$A16)=0," ",COUNTIF(원본!$G$2:$G$10000,$A16))</f>
        <v/>
      </c>
      <c r="H16" s="43">
        <f>IF(COUNTIF(원본!$H$2:$H$10000,$A16)=0," ",COUNTIF(원본!$H$2:$H$10000,$A16))</f>
        <v/>
      </c>
      <c r="J16" s="41" t="n">
        <v>15</v>
      </c>
      <c r="K16" s="42">
        <f>SUM(B16:G16)</f>
        <v/>
      </c>
      <c r="L16" s="27">
        <f>K16/SUM($K$2:$K$46)</f>
        <v/>
      </c>
      <c r="M16" s="43">
        <f>RANK(K16,$K$2:$K$46)</f>
        <v/>
      </c>
    </row>
    <row r="17" ht="16.5" customHeight="1" s="28">
      <c r="A17" s="40" t="n">
        <v>16</v>
      </c>
      <c r="B17" s="41">
        <f>IF(COUNTIF(원본!$B$2:$B$10000,$A17)=0," ",COUNTIF(원본!$B$2:$B$10000,$A17))</f>
        <v/>
      </c>
      <c r="C17" s="42">
        <f>IF(COUNTIF(원본!$C$2:$C$10000,$A17)=0," ",COUNTIF(원본!$C$2:$C$10000,$A17))</f>
        <v/>
      </c>
      <c r="D17" s="42">
        <f>IF(COUNTIF(원본!$D$2:$D$10000,$A17)=0," ",COUNTIF(원본!$D$2:$D$10000,$A17))</f>
        <v/>
      </c>
      <c r="E17" s="42">
        <f>IF(COUNTIF(원본!$E$2:$E$10000,$A17)=0," ",COUNTIF(원본!$E$2:$E$10000,$A17))</f>
        <v/>
      </c>
      <c r="F17" s="42">
        <f>IF(COUNTIF(원본!$F$2:$F$10000,$A17)=0," ",COUNTIF(원본!$F$2:$F$10000,$A17))</f>
        <v/>
      </c>
      <c r="G17" s="42">
        <f>IF(COUNTIF(원본!$G$2:$G$10000,$A17)=0," ",COUNTIF(원본!$G$2:$G$10000,$A17))</f>
        <v/>
      </c>
      <c r="H17" s="43">
        <f>IF(COUNTIF(원본!$H$2:$H$10000,$A17)=0," ",COUNTIF(원본!$H$2:$H$10000,$A17))</f>
        <v/>
      </c>
      <c r="J17" s="41" t="n">
        <v>16</v>
      </c>
      <c r="K17" s="42">
        <f>SUM(B17:G17)</f>
        <v/>
      </c>
      <c r="L17" s="27">
        <f>K17/SUM($K$2:$K$46)</f>
        <v/>
      </c>
      <c r="M17" s="43">
        <f>RANK(K17,$K$2:$K$46)</f>
        <v/>
      </c>
    </row>
    <row r="18" ht="16.5" customHeight="1" s="28">
      <c r="A18" s="40" t="n">
        <v>17</v>
      </c>
      <c r="B18" s="41">
        <f>IF(COUNTIF(원본!$B$2:$B$10000,$A18)=0," ",COUNTIF(원본!$B$2:$B$10000,$A18))</f>
        <v/>
      </c>
      <c r="C18" s="42">
        <f>IF(COUNTIF(원본!$C$2:$C$10000,$A18)=0," ",COUNTIF(원본!$C$2:$C$10000,$A18))</f>
        <v/>
      </c>
      <c r="D18" s="42">
        <f>IF(COUNTIF(원본!$D$2:$D$10000,$A18)=0," ",COUNTIF(원본!$D$2:$D$10000,$A18))</f>
        <v/>
      </c>
      <c r="E18" s="42">
        <f>IF(COUNTIF(원본!$E$2:$E$10000,$A18)=0," ",COUNTIF(원본!$E$2:$E$10000,$A18))</f>
        <v/>
      </c>
      <c r="F18" s="42">
        <f>IF(COUNTIF(원본!$F$2:$F$10000,$A18)=0," ",COUNTIF(원본!$F$2:$F$10000,$A18))</f>
        <v/>
      </c>
      <c r="G18" s="42">
        <f>IF(COUNTIF(원본!$G$2:$G$10000,$A18)=0," ",COUNTIF(원본!$G$2:$G$10000,$A18))</f>
        <v/>
      </c>
      <c r="H18" s="43">
        <f>IF(COUNTIF(원본!$H$2:$H$10000,$A18)=0," ",COUNTIF(원본!$H$2:$H$10000,$A18))</f>
        <v/>
      </c>
      <c r="J18" s="41" t="n">
        <v>17</v>
      </c>
      <c r="K18" s="42">
        <f>SUM(B18:G18)</f>
        <v/>
      </c>
      <c r="L18" s="27">
        <f>K18/SUM($K$2:$K$46)</f>
        <v/>
      </c>
      <c r="M18" s="43">
        <f>RANK(K18,$K$2:$K$46)</f>
        <v/>
      </c>
    </row>
    <row r="19" ht="16.5" customHeight="1" s="28">
      <c r="A19" s="40" t="n">
        <v>18</v>
      </c>
      <c r="B19" s="41">
        <f>IF(COUNTIF(원본!$B$2:$B$10000,$A19)=0," ",COUNTIF(원본!$B$2:$B$10000,$A19))</f>
        <v/>
      </c>
      <c r="C19" s="42">
        <f>IF(COUNTIF(원본!$C$2:$C$10000,$A19)=0," ",COUNTIF(원본!$C$2:$C$10000,$A19))</f>
        <v/>
      </c>
      <c r="D19" s="42">
        <f>IF(COUNTIF(원본!$D$2:$D$10000,$A19)=0," ",COUNTIF(원본!$D$2:$D$10000,$A19))</f>
        <v/>
      </c>
      <c r="E19" s="42">
        <f>IF(COUNTIF(원본!$E$2:$E$10000,$A19)=0," ",COUNTIF(원본!$E$2:$E$10000,$A19))</f>
        <v/>
      </c>
      <c r="F19" s="42">
        <f>IF(COUNTIF(원본!$F$2:$F$10000,$A19)=0," ",COUNTIF(원본!$F$2:$F$10000,$A19))</f>
        <v/>
      </c>
      <c r="G19" s="42">
        <f>IF(COUNTIF(원본!$G$2:$G$10000,$A19)=0," ",COUNTIF(원본!$G$2:$G$10000,$A19))</f>
        <v/>
      </c>
      <c r="H19" s="43">
        <f>IF(COUNTIF(원본!$H$2:$H$10000,$A19)=0," ",COUNTIF(원본!$H$2:$H$10000,$A19))</f>
        <v/>
      </c>
      <c r="J19" s="41" t="n">
        <v>18</v>
      </c>
      <c r="K19" s="42">
        <f>SUM(B19:G19)</f>
        <v/>
      </c>
      <c r="L19" s="27">
        <f>K19/SUM($K$2:$K$46)</f>
        <v/>
      </c>
      <c r="M19" s="43">
        <f>RANK(K19,$K$2:$K$46)</f>
        <v/>
      </c>
    </row>
    <row r="20" ht="16.5" customHeight="1" s="28">
      <c r="A20" s="40" t="n">
        <v>19</v>
      </c>
      <c r="B20" s="41">
        <f>IF(COUNTIF(원본!$B$2:$B$10000,$A20)=0," ",COUNTIF(원본!$B$2:$B$10000,$A20))</f>
        <v/>
      </c>
      <c r="C20" s="42">
        <f>IF(COUNTIF(원본!$C$2:$C$10000,$A20)=0," ",COUNTIF(원본!$C$2:$C$10000,$A20))</f>
        <v/>
      </c>
      <c r="D20" s="42">
        <f>IF(COUNTIF(원본!$D$2:$D$10000,$A20)=0," ",COUNTIF(원본!$D$2:$D$10000,$A20))</f>
        <v/>
      </c>
      <c r="E20" s="42">
        <f>IF(COUNTIF(원본!$E$2:$E$10000,$A20)=0," ",COUNTIF(원본!$E$2:$E$10000,$A20))</f>
        <v/>
      </c>
      <c r="F20" s="42">
        <f>IF(COUNTIF(원본!$F$2:$F$10000,$A20)=0," ",COUNTIF(원본!$F$2:$F$10000,$A20))</f>
        <v/>
      </c>
      <c r="G20" s="42">
        <f>IF(COUNTIF(원본!$G$2:$G$10000,$A20)=0," ",COUNTIF(원본!$G$2:$G$10000,$A20))</f>
        <v/>
      </c>
      <c r="H20" s="43">
        <f>IF(COUNTIF(원본!$H$2:$H$10000,$A20)=0," ",COUNTIF(원본!$H$2:$H$10000,$A20))</f>
        <v/>
      </c>
      <c r="J20" s="41" t="n">
        <v>19</v>
      </c>
      <c r="K20" s="42">
        <f>SUM(B20:G20)</f>
        <v/>
      </c>
      <c r="L20" s="27">
        <f>K20/SUM($K$2:$K$46)</f>
        <v/>
      </c>
      <c r="M20" s="43">
        <f>RANK(K20,$K$2:$K$46)</f>
        <v/>
      </c>
    </row>
    <row r="21" ht="16.5" customHeight="1" s="28">
      <c r="A21" s="40" t="n">
        <v>20</v>
      </c>
      <c r="B21" s="41">
        <f>IF(COUNTIF(원본!$B$2:$B$10000,$A21)=0," ",COUNTIF(원본!$B$2:$B$10000,$A21))</f>
        <v/>
      </c>
      <c r="C21" s="42">
        <f>IF(COUNTIF(원본!$C$2:$C$10000,$A21)=0," ",COUNTIF(원본!$C$2:$C$10000,$A21))</f>
        <v/>
      </c>
      <c r="D21" s="42">
        <f>IF(COUNTIF(원본!$D$2:$D$10000,$A21)=0," ",COUNTIF(원본!$D$2:$D$10000,$A21))</f>
        <v/>
      </c>
      <c r="E21" s="42">
        <f>IF(COUNTIF(원본!$E$2:$E$10000,$A21)=0," ",COUNTIF(원본!$E$2:$E$10000,$A21))</f>
        <v/>
      </c>
      <c r="F21" s="42">
        <f>IF(COUNTIF(원본!$F$2:$F$10000,$A21)=0," ",COUNTIF(원본!$F$2:$F$10000,$A21))</f>
        <v/>
      </c>
      <c r="G21" s="42">
        <f>IF(COUNTIF(원본!$G$2:$G$10000,$A21)=0," ",COUNTIF(원본!$G$2:$G$10000,$A21))</f>
        <v/>
      </c>
      <c r="H21" s="43">
        <f>IF(COUNTIF(원본!$H$2:$H$10000,$A21)=0," ",COUNTIF(원본!$H$2:$H$10000,$A21))</f>
        <v/>
      </c>
      <c r="J21" s="41" t="n">
        <v>20</v>
      </c>
      <c r="K21" s="42">
        <f>SUM(B21:G21)</f>
        <v/>
      </c>
      <c r="L21" s="27">
        <f>K21/SUM($K$2:$K$46)</f>
        <v/>
      </c>
      <c r="M21" s="43">
        <f>RANK(K21,$K$2:$K$46)</f>
        <v/>
      </c>
    </row>
    <row r="22" ht="16.5" customHeight="1" s="28">
      <c r="A22" s="40" t="n">
        <v>21</v>
      </c>
      <c r="B22" s="41">
        <f>IF(COUNTIF(원본!$B$2:$B$10000,$A22)=0," ",COUNTIF(원본!$B$2:$B$10000,$A22))</f>
        <v/>
      </c>
      <c r="C22" s="42">
        <f>IF(COUNTIF(원본!$C$2:$C$10000,$A22)=0," ",COUNTIF(원본!$C$2:$C$10000,$A22))</f>
        <v/>
      </c>
      <c r="D22" s="42">
        <f>IF(COUNTIF(원본!$D$2:$D$10000,$A22)=0," ",COUNTIF(원본!$D$2:$D$10000,$A22))</f>
        <v/>
      </c>
      <c r="E22" s="42">
        <f>IF(COUNTIF(원본!$E$2:$E$10000,$A22)=0," ",COUNTIF(원본!$E$2:$E$10000,$A22))</f>
        <v/>
      </c>
      <c r="F22" s="42">
        <f>IF(COUNTIF(원본!$F$2:$F$10000,$A22)=0," ",COUNTIF(원본!$F$2:$F$10000,$A22))</f>
        <v/>
      </c>
      <c r="G22" s="42">
        <f>IF(COUNTIF(원본!$G$2:$G$10000,$A22)=0," ",COUNTIF(원본!$G$2:$G$10000,$A22))</f>
        <v/>
      </c>
      <c r="H22" s="43">
        <f>IF(COUNTIF(원본!$H$2:$H$10000,$A22)=0," ",COUNTIF(원본!$H$2:$H$10000,$A22))</f>
        <v/>
      </c>
      <c r="J22" s="41" t="n">
        <v>21</v>
      </c>
      <c r="K22" s="42">
        <f>SUM(B22:G22)</f>
        <v/>
      </c>
      <c r="L22" s="27">
        <f>K22/SUM($K$2:$K$46)</f>
        <v/>
      </c>
      <c r="M22" s="43">
        <f>RANK(K22,$K$2:$K$46)</f>
        <v/>
      </c>
    </row>
    <row r="23" ht="16.5" customHeight="1" s="28">
      <c r="A23" s="40" t="n">
        <v>22</v>
      </c>
      <c r="B23" s="41">
        <f>IF(COUNTIF(원본!$B$2:$B$10000,$A23)=0," ",COUNTIF(원본!$B$2:$B$10000,$A23))</f>
        <v/>
      </c>
      <c r="C23" s="42">
        <f>IF(COUNTIF(원본!$C$2:$C$10000,$A23)=0," ",COUNTIF(원본!$C$2:$C$10000,$A23))</f>
        <v/>
      </c>
      <c r="D23" s="42">
        <f>IF(COUNTIF(원본!$D$2:$D$10000,$A23)=0," ",COUNTIF(원본!$D$2:$D$10000,$A23))</f>
        <v/>
      </c>
      <c r="E23" s="42">
        <f>IF(COUNTIF(원본!$E$2:$E$10000,$A23)=0," ",COUNTIF(원본!$E$2:$E$10000,$A23))</f>
        <v/>
      </c>
      <c r="F23" s="42">
        <f>IF(COUNTIF(원본!$F$2:$F$10000,$A23)=0," ",COUNTIF(원본!$F$2:$F$10000,$A23))</f>
        <v/>
      </c>
      <c r="G23" s="42">
        <f>IF(COUNTIF(원본!$G$2:$G$10000,$A23)=0," ",COUNTIF(원본!$G$2:$G$10000,$A23))</f>
        <v/>
      </c>
      <c r="H23" s="43">
        <f>IF(COUNTIF(원본!$H$2:$H$10000,$A23)=0," ",COUNTIF(원본!$H$2:$H$10000,$A23))</f>
        <v/>
      </c>
      <c r="J23" s="41" t="n">
        <v>22</v>
      </c>
      <c r="K23" s="42">
        <f>SUM(B23:G23)</f>
        <v/>
      </c>
      <c r="L23" s="27">
        <f>K23/SUM($K$2:$K$46)</f>
        <v/>
      </c>
      <c r="M23" s="43">
        <f>RANK(K23,$K$2:$K$46)</f>
        <v/>
      </c>
    </row>
    <row r="24" ht="16.5" customHeight="1" s="28">
      <c r="A24" s="40" t="n">
        <v>23</v>
      </c>
      <c r="B24" s="41">
        <f>IF(COUNTIF(원본!$B$2:$B$10000,$A24)=0," ",COUNTIF(원본!$B$2:$B$10000,$A24))</f>
        <v/>
      </c>
      <c r="C24" s="42">
        <f>IF(COUNTIF(원본!$C$2:$C$10000,$A24)=0," ",COUNTIF(원본!$C$2:$C$10000,$A24))</f>
        <v/>
      </c>
      <c r="D24" s="42">
        <f>IF(COUNTIF(원본!$D$2:$D$10000,$A24)=0," ",COUNTIF(원본!$D$2:$D$10000,$A24))</f>
        <v/>
      </c>
      <c r="E24" s="42">
        <f>IF(COUNTIF(원본!$E$2:$E$10000,$A24)=0," ",COUNTIF(원본!$E$2:$E$10000,$A24))</f>
        <v/>
      </c>
      <c r="F24" s="42">
        <f>IF(COUNTIF(원본!$F$2:$F$10000,$A24)=0," ",COUNTIF(원본!$F$2:$F$10000,$A24))</f>
        <v/>
      </c>
      <c r="G24" s="42">
        <f>IF(COUNTIF(원본!$G$2:$G$10000,$A24)=0," ",COUNTIF(원본!$G$2:$G$10000,$A24))</f>
        <v/>
      </c>
      <c r="H24" s="43">
        <f>IF(COUNTIF(원본!$H$2:$H$10000,$A24)=0," ",COUNTIF(원본!$H$2:$H$10000,$A24))</f>
        <v/>
      </c>
      <c r="J24" s="41" t="n">
        <v>23</v>
      </c>
      <c r="K24" s="42">
        <f>SUM(B24:G24)</f>
        <v/>
      </c>
      <c r="L24" s="27">
        <f>K24/SUM($K$2:$K$46)</f>
        <v/>
      </c>
      <c r="M24" s="43">
        <f>RANK(K24,$K$2:$K$46)</f>
        <v/>
      </c>
    </row>
    <row r="25" ht="16.5" customHeight="1" s="28">
      <c r="A25" s="40" t="n">
        <v>24</v>
      </c>
      <c r="B25" s="41">
        <f>IF(COUNTIF(원본!$B$2:$B$10000,$A25)=0," ",COUNTIF(원본!$B$2:$B$10000,$A25))</f>
        <v/>
      </c>
      <c r="C25" s="42">
        <f>IF(COUNTIF(원본!$C$2:$C$10000,$A25)=0," ",COUNTIF(원본!$C$2:$C$10000,$A25))</f>
        <v/>
      </c>
      <c r="D25" s="42">
        <f>IF(COUNTIF(원본!$D$2:$D$10000,$A25)=0," ",COUNTIF(원본!$D$2:$D$10000,$A25))</f>
        <v/>
      </c>
      <c r="E25" s="42">
        <f>IF(COUNTIF(원본!$E$2:$E$10000,$A25)=0," ",COUNTIF(원본!$E$2:$E$10000,$A25))</f>
        <v/>
      </c>
      <c r="F25" s="42">
        <f>IF(COUNTIF(원본!$F$2:$F$10000,$A25)=0," ",COUNTIF(원본!$F$2:$F$10000,$A25))</f>
        <v/>
      </c>
      <c r="G25" s="42">
        <f>IF(COUNTIF(원본!$G$2:$G$10000,$A25)=0," ",COUNTIF(원본!$G$2:$G$10000,$A25))</f>
        <v/>
      </c>
      <c r="H25" s="43">
        <f>IF(COUNTIF(원본!$H$2:$H$10000,$A25)=0," ",COUNTIF(원본!$H$2:$H$10000,$A25))</f>
        <v/>
      </c>
      <c r="J25" s="41" t="n">
        <v>24</v>
      </c>
      <c r="K25" s="42">
        <f>SUM(B25:G25)</f>
        <v/>
      </c>
      <c r="L25" s="27">
        <f>K25/SUM($K$2:$K$46)</f>
        <v/>
      </c>
      <c r="M25" s="43">
        <f>RANK(K25,$K$2:$K$46)</f>
        <v/>
      </c>
    </row>
    <row r="26" ht="16.5" customHeight="1" s="28">
      <c r="A26" s="40" t="n">
        <v>25</v>
      </c>
      <c r="B26" s="41">
        <f>IF(COUNTIF(원본!$B$2:$B$10000,$A26)=0," ",COUNTIF(원본!$B$2:$B$10000,$A26))</f>
        <v/>
      </c>
      <c r="C26" s="42">
        <f>IF(COUNTIF(원본!$C$2:$C$10000,$A26)=0," ",COUNTIF(원본!$C$2:$C$10000,$A26))</f>
        <v/>
      </c>
      <c r="D26" s="42">
        <f>IF(COUNTIF(원본!$D$2:$D$10000,$A26)=0," ",COUNTIF(원본!$D$2:$D$10000,$A26))</f>
        <v/>
      </c>
      <c r="E26" s="42">
        <f>IF(COUNTIF(원본!$E$2:$E$10000,$A26)=0," ",COUNTIF(원본!$E$2:$E$10000,$A26))</f>
        <v/>
      </c>
      <c r="F26" s="42">
        <f>IF(COUNTIF(원본!$F$2:$F$10000,$A26)=0," ",COUNTIF(원본!$F$2:$F$10000,$A26))</f>
        <v/>
      </c>
      <c r="G26" s="42">
        <f>IF(COUNTIF(원본!$G$2:$G$10000,$A26)=0," ",COUNTIF(원본!$G$2:$G$10000,$A26))</f>
        <v/>
      </c>
      <c r="H26" s="43">
        <f>IF(COUNTIF(원본!$H$2:$H$10000,$A26)=0," ",COUNTIF(원본!$H$2:$H$10000,$A26))</f>
        <v/>
      </c>
      <c r="J26" s="41" t="n">
        <v>25</v>
      </c>
      <c r="K26" s="42">
        <f>SUM(B26:G26)</f>
        <v/>
      </c>
      <c r="L26" s="27">
        <f>K26/SUM($K$2:$K$46)</f>
        <v/>
      </c>
      <c r="M26" s="43">
        <f>RANK(K26,$K$2:$K$46)</f>
        <v/>
      </c>
    </row>
    <row r="27" ht="16.5" customHeight="1" s="28">
      <c r="A27" s="40" t="n">
        <v>26</v>
      </c>
      <c r="B27" s="41">
        <f>IF(COUNTIF(원본!$B$2:$B$10000,$A27)=0," ",COUNTIF(원본!$B$2:$B$10000,$A27))</f>
        <v/>
      </c>
      <c r="C27" s="42">
        <f>IF(COUNTIF(원본!$C$2:$C$10000,$A27)=0," ",COUNTIF(원본!$C$2:$C$10000,$A27))</f>
        <v/>
      </c>
      <c r="D27" s="42">
        <f>IF(COUNTIF(원본!$D$2:$D$10000,$A27)=0," ",COUNTIF(원본!$D$2:$D$10000,$A27))</f>
        <v/>
      </c>
      <c r="E27" s="42">
        <f>IF(COUNTIF(원본!$E$2:$E$10000,$A27)=0," ",COUNTIF(원본!$E$2:$E$10000,$A27))</f>
        <v/>
      </c>
      <c r="F27" s="42">
        <f>IF(COUNTIF(원본!$F$2:$F$10000,$A27)=0," ",COUNTIF(원본!$F$2:$F$10000,$A27))</f>
        <v/>
      </c>
      <c r="G27" s="42">
        <f>IF(COUNTIF(원본!$G$2:$G$10000,$A27)=0," ",COUNTIF(원본!$G$2:$G$10000,$A27))</f>
        <v/>
      </c>
      <c r="H27" s="43">
        <f>IF(COUNTIF(원본!$H$2:$H$10000,$A27)=0," ",COUNTIF(원본!$H$2:$H$10000,$A27))</f>
        <v/>
      </c>
      <c r="J27" s="41" t="n">
        <v>26</v>
      </c>
      <c r="K27" s="42">
        <f>SUM(B27:G27)</f>
        <v/>
      </c>
      <c r="L27" s="27">
        <f>K27/SUM($K$2:$K$46)</f>
        <v/>
      </c>
      <c r="M27" s="43">
        <f>RANK(K27,$K$2:$K$46)</f>
        <v/>
      </c>
    </row>
    <row r="28" ht="16.5" customHeight="1" s="28">
      <c r="A28" s="40" t="n">
        <v>27</v>
      </c>
      <c r="B28" s="41">
        <f>IF(COUNTIF(원본!$B$2:$B$10000,$A28)=0," ",COUNTIF(원본!$B$2:$B$10000,$A28))</f>
        <v/>
      </c>
      <c r="C28" s="42">
        <f>IF(COUNTIF(원본!$C$2:$C$10000,$A28)=0," ",COUNTIF(원본!$C$2:$C$10000,$A28))</f>
        <v/>
      </c>
      <c r="D28" s="42">
        <f>IF(COUNTIF(원본!$D$2:$D$10000,$A28)=0," ",COUNTIF(원본!$D$2:$D$10000,$A28))</f>
        <v/>
      </c>
      <c r="E28" s="42">
        <f>IF(COUNTIF(원본!$E$2:$E$10000,$A28)=0," ",COUNTIF(원본!$E$2:$E$10000,$A28))</f>
        <v/>
      </c>
      <c r="F28" s="42">
        <f>IF(COUNTIF(원본!$F$2:$F$10000,$A28)=0," ",COUNTIF(원본!$F$2:$F$10000,$A28))</f>
        <v/>
      </c>
      <c r="G28" s="42">
        <f>IF(COUNTIF(원본!$G$2:$G$10000,$A28)=0," ",COUNTIF(원본!$G$2:$G$10000,$A28))</f>
        <v/>
      </c>
      <c r="H28" s="43">
        <f>IF(COUNTIF(원본!$H$2:$H$10000,$A28)=0," ",COUNTIF(원본!$H$2:$H$10000,$A28))</f>
        <v/>
      </c>
      <c r="J28" s="41" t="n">
        <v>27</v>
      </c>
      <c r="K28" s="42">
        <f>SUM(B28:G28)</f>
        <v/>
      </c>
      <c r="L28" s="27">
        <f>K28/SUM($K$2:$K$46)</f>
        <v/>
      </c>
      <c r="M28" s="43">
        <f>RANK(K28,$K$2:$K$46)</f>
        <v/>
      </c>
    </row>
    <row r="29" ht="16.5" customHeight="1" s="28">
      <c r="A29" s="40" t="n">
        <v>28</v>
      </c>
      <c r="B29" s="41">
        <f>IF(COUNTIF(원본!$B$2:$B$10000,$A29)=0," ",COUNTIF(원본!$B$2:$B$10000,$A29))</f>
        <v/>
      </c>
      <c r="C29" s="42">
        <f>IF(COUNTIF(원본!$C$2:$C$10000,$A29)=0," ",COUNTIF(원본!$C$2:$C$10000,$A29))</f>
        <v/>
      </c>
      <c r="D29" s="42">
        <f>IF(COUNTIF(원본!$D$2:$D$10000,$A29)=0," ",COUNTIF(원본!$D$2:$D$10000,$A29))</f>
        <v/>
      </c>
      <c r="E29" s="42">
        <f>IF(COUNTIF(원본!$E$2:$E$10000,$A29)=0," ",COUNTIF(원본!$E$2:$E$10000,$A29))</f>
        <v/>
      </c>
      <c r="F29" s="42">
        <f>IF(COUNTIF(원본!$F$2:$F$10000,$A29)=0," ",COUNTIF(원본!$F$2:$F$10000,$A29))</f>
        <v/>
      </c>
      <c r="G29" s="42">
        <f>IF(COUNTIF(원본!$G$2:$G$10000,$A29)=0," ",COUNTIF(원본!$G$2:$G$10000,$A29))</f>
        <v/>
      </c>
      <c r="H29" s="43">
        <f>IF(COUNTIF(원본!$H$2:$H$10000,$A29)=0," ",COUNTIF(원본!$H$2:$H$10000,$A29))</f>
        <v/>
      </c>
      <c r="J29" s="41" t="n">
        <v>28</v>
      </c>
      <c r="K29" s="42">
        <f>SUM(B29:G29)</f>
        <v/>
      </c>
      <c r="L29" s="27">
        <f>K29/SUM($K$2:$K$46)</f>
        <v/>
      </c>
      <c r="M29" s="43">
        <f>RANK(K29,$K$2:$K$46)</f>
        <v/>
      </c>
    </row>
    <row r="30" ht="16.5" customHeight="1" s="28">
      <c r="A30" s="40" t="n">
        <v>29</v>
      </c>
      <c r="B30" s="41">
        <f>IF(COUNTIF(원본!$B$2:$B$10000,$A30)=0," ",COUNTIF(원본!$B$2:$B$10000,$A30))</f>
        <v/>
      </c>
      <c r="C30" s="42">
        <f>IF(COUNTIF(원본!$C$2:$C$10000,$A30)=0," ",COUNTIF(원본!$C$2:$C$10000,$A30))</f>
        <v/>
      </c>
      <c r="D30" s="42">
        <f>IF(COUNTIF(원본!$D$2:$D$10000,$A30)=0," ",COUNTIF(원본!$D$2:$D$10000,$A30))</f>
        <v/>
      </c>
      <c r="E30" s="42">
        <f>IF(COUNTIF(원본!$E$2:$E$10000,$A30)=0," ",COUNTIF(원본!$E$2:$E$10000,$A30))</f>
        <v/>
      </c>
      <c r="F30" s="42">
        <f>IF(COUNTIF(원본!$F$2:$F$10000,$A30)=0," ",COUNTIF(원본!$F$2:$F$10000,$A30))</f>
        <v/>
      </c>
      <c r="G30" s="42">
        <f>IF(COUNTIF(원본!$G$2:$G$10000,$A30)=0," ",COUNTIF(원본!$G$2:$G$10000,$A30))</f>
        <v/>
      </c>
      <c r="H30" s="43">
        <f>IF(COUNTIF(원본!$H$2:$H$10000,$A30)=0," ",COUNTIF(원본!$H$2:$H$10000,$A30))</f>
        <v/>
      </c>
      <c r="J30" s="41" t="n">
        <v>29</v>
      </c>
      <c r="K30" s="42">
        <f>SUM(B30:G30)</f>
        <v/>
      </c>
      <c r="L30" s="27">
        <f>K30/SUM($K$2:$K$46)</f>
        <v/>
      </c>
      <c r="M30" s="43">
        <f>RANK(K30,$K$2:$K$46)</f>
        <v/>
      </c>
    </row>
    <row r="31" ht="16.5" customHeight="1" s="28">
      <c r="A31" s="40" t="n">
        <v>30</v>
      </c>
      <c r="B31" s="41">
        <f>IF(COUNTIF(원본!$B$2:$B$10000,$A31)=0," ",COUNTIF(원본!$B$2:$B$10000,$A31))</f>
        <v/>
      </c>
      <c r="C31" s="42">
        <f>IF(COUNTIF(원본!$C$2:$C$10000,$A31)=0," ",COUNTIF(원본!$C$2:$C$10000,$A31))</f>
        <v/>
      </c>
      <c r="D31" s="42">
        <f>IF(COUNTIF(원본!$D$2:$D$10000,$A31)=0," ",COUNTIF(원본!$D$2:$D$10000,$A31))</f>
        <v/>
      </c>
      <c r="E31" s="42">
        <f>IF(COUNTIF(원본!$E$2:$E$10000,$A31)=0," ",COUNTIF(원본!$E$2:$E$10000,$A31))</f>
        <v/>
      </c>
      <c r="F31" s="42">
        <f>IF(COUNTIF(원본!$F$2:$F$10000,$A31)=0," ",COUNTIF(원본!$F$2:$F$10000,$A31))</f>
        <v/>
      </c>
      <c r="G31" s="42">
        <f>IF(COUNTIF(원본!$G$2:$G$10000,$A31)=0," ",COUNTIF(원본!$G$2:$G$10000,$A31))</f>
        <v/>
      </c>
      <c r="H31" s="43">
        <f>IF(COUNTIF(원본!$H$2:$H$10000,$A31)=0," ",COUNTIF(원본!$H$2:$H$10000,$A31))</f>
        <v/>
      </c>
      <c r="J31" s="41" t="n">
        <v>30</v>
      </c>
      <c r="K31" s="42">
        <f>SUM(B31:G31)</f>
        <v/>
      </c>
      <c r="L31" s="27">
        <f>K31/SUM($K$2:$K$46)</f>
        <v/>
      </c>
      <c r="M31" s="43">
        <f>RANK(K31,$K$2:$K$46)</f>
        <v/>
      </c>
    </row>
    <row r="32" ht="16.5" customHeight="1" s="28">
      <c r="A32" s="40" t="n">
        <v>31</v>
      </c>
      <c r="B32" s="41">
        <f>IF(COUNTIF(원본!$B$2:$B$10000,$A32)=0," ",COUNTIF(원본!$B$2:$B$10000,$A32))</f>
        <v/>
      </c>
      <c r="C32" s="42">
        <f>IF(COUNTIF(원본!$C$2:$C$10000,$A32)=0," ",COUNTIF(원본!$C$2:$C$10000,$A32))</f>
        <v/>
      </c>
      <c r="D32" s="42">
        <f>IF(COUNTIF(원본!$D$2:$D$10000,$A32)=0," ",COUNTIF(원본!$D$2:$D$10000,$A32))</f>
        <v/>
      </c>
      <c r="E32" s="42">
        <f>IF(COUNTIF(원본!$E$2:$E$10000,$A32)=0," ",COUNTIF(원본!$E$2:$E$10000,$A32))</f>
        <v/>
      </c>
      <c r="F32" s="42">
        <f>IF(COUNTIF(원본!$F$2:$F$10000,$A32)=0," ",COUNTIF(원본!$F$2:$F$10000,$A32))</f>
        <v/>
      </c>
      <c r="G32" s="42">
        <f>IF(COUNTIF(원본!$G$2:$G$10000,$A32)=0," ",COUNTIF(원본!$G$2:$G$10000,$A32))</f>
        <v/>
      </c>
      <c r="H32" s="43">
        <f>IF(COUNTIF(원본!$H$2:$H$10000,$A32)=0," ",COUNTIF(원본!$H$2:$H$10000,$A32))</f>
        <v/>
      </c>
      <c r="J32" s="41" t="n">
        <v>31</v>
      </c>
      <c r="K32" s="42">
        <f>SUM(B32:G32)</f>
        <v/>
      </c>
      <c r="L32" s="27">
        <f>K32/SUM($K$2:$K$46)</f>
        <v/>
      </c>
      <c r="M32" s="43">
        <f>RANK(K32,$K$2:$K$46)</f>
        <v/>
      </c>
    </row>
    <row r="33" ht="16.5" customHeight="1" s="28">
      <c r="A33" s="40" t="n">
        <v>32</v>
      </c>
      <c r="B33" s="41">
        <f>IF(COUNTIF(원본!$B$2:$B$10000,$A33)=0," ",COUNTIF(원본!$B$2:$B$10000,$A33))</f>
        <v/>
      </c>
      <c r="C33" s="42">
        <f>IF(COUNTIF(원본!$C$2:$C$10000,$A33)=0," ",COUNTIF(원본!$C$2:$C$10000,$A33))</f>
        <v/>
      </c>
      <c r="D33" s="42">
        <f>IF(COUNTIF(원본!$D$2:$D$10000,$A33)=0," ",COUNTIF(원본!$D$2:$D$10000,$A33))</f>
        <v/>
      </c>
      <c r="E33" s="42">
        <f>IF(COUNTIF(원본!$E$2:$E$10000,$A33)=0," ",COUNTIF(원본!$E$2:$E$10000,$A33))</f>
        <v/>
      </c>
      <c r="F33" s="42">
        <f>IF(COUNTIF(원본!$F$2:$F$10000,$A33)=0," ",COUNTIF(원본!$F$2:$F$10000,$A33))</f>
        <v/>
      </c>
      <c r="G33" s="42">
        <f>IF(COUNTIF(원본!$G$2:$G$10000,$A33)=0," ",COUNTIF(원본!$G$2:$G$10000,$A33))</f>
        <v/>
      </c>
      <c r="H33" s="43">
        <f>IF(COUNTIF(원본!$H$2:$H$10000,$A33)=0," ",COUNTIF(원본!$H$2:$H$10000,$A33))</f>
        <v/>
      </c>
      <c r="J33" s="41" t="n">
        <v>32</v>
      </c>
      <c r="K33" s="42">
        <f>SUM(B33:G33)</f>
        <v/>
      </c>
      <c r="L33" s="27">
        <f>K33/SUM($K$2:$K$46)</f>
        <v/>
      </c>
      <c r="M33" s="43">
        <f>RANK(K33,$K$2:$K$46)</f>
        <v/>
      </c>
    </row>
    <row r="34" ht="16.5" customHeight="1" s="28">
      <c r="A34" s="40" t="n">
        <v>33</v>
      </c>
      <c r="B34" s="41">
        <f>IF(COUNTIF(원본!$B$2:$B$10000,$A34)=0," ",COUNTIF(원본!$B$2:$B$10000,$A34))</f>
        <v/>
      </c>
      <c r="C34" s="42">
        <f>IF(COUNTIF(원본!$C$2:$C$10000,$A34)=0," ",COUNTIF(원본!$C$2:$C$10000,$A34))</f>
        <v/>
      </c>
      <c r="D34" s="42">
        <f>IF(COUNTIF(원본!$D$2:$D$10000,$A34)=0," ",COUNTIF(원본!$D$2:$D$10000,$A34))</f>
        <v/>
      </c>
      <c r="E34" s="42">
        <f>IF(COUNTIF(원본!$E$2:$E$10000,$A34)=0," ",COUNTIF(원본!$E$2:$E$10000,$A34))</f>
        <v/>
      </c>
      <c r="F34" s="42">
        <f>IF(COUNTIF(원본!$F$2:$F$10000,$A34)=0," ",COUNTIF(원본!$F$2:$F$10000,$A34))</f>
        <v/>
      </c>
      <c r="G34" s="42">
        <f>IF(COUNTIF(원본!$G$2:$G$10000,$A34)=0," ",COUNTIF(원본!$G$2:$G$10000,$A34))</f>
        <v/>
      </c>
      <c r="H34" s="43">
        <f>IF(COUNTIF(원본!$H$2:$H$10000,$A34)=0," ",COUNTIF(원본!$H$2:$H$10000,$A34))</f>
        <v/>
      </c>
      <c r="J34" s="41" t="n">
        <v>33</v>
      </c>
      <c r="K34" s="42">
        <f>SUM(B34:G34)</f>
        <v/>
      </c>
      <c r="L34" s="27">
        <f>K34/SUM($K$2:$K$46)</f>
        <v/>
      </c>
      <c r="M34" s="43">
        <f>RANK(K34,$K$2:$K$46)</f>
        <v/>
      </c>
    </row>
    <row r="35" ht="16.5" customHeight="1" s="28">
      <c r="A35" s="40" t="n">
        <v>34</v>
      </c>
      <c r="B35" s="41">
        <f>IF(COUNTIF(원본!$B$2:$B$10000,$A35)=0," ",COUNTIF(원본!$B$2:$B$10000,$A35))</f>
        <v/>
      </c>
      <c r="C35" s="42">
        <f>IF(COUNTIF(원본!$C$2:$C$10000,$A35)=0," ",COUNTIF(원본!$C$2:$C$10000,$A35))</f>
        <v/>
      </c>
      <c r="D35" s="42">
        <f>IF(COUNTIF(원본!$D$2:$D$10000,$A35)=0," ",COUNTIF(원본!$D$2:$D$10000,$A35))</f>
        <v/>
      </c>
      <c r="E35" s="42">
        <f>IF(COUNTIF(원본!$E$2:$E$10000,$A35)=0," ",COUNTIF(원본!$E$2:$E$10000,$A35))</f>
        <v/>
      </c>
      <c r="F35" s="42">
        <f>IF(COUNTIF(원본!$F$2:$F$10000,$A35)=0," ",COUNTIF(원본!$F$2:$F$10000,$A35))</f>
        <v/>
      </c>
      <c r="G35" s="42">
        <f>IF(COUNTIF(원본!$G$2:$G$10000,$A35)=0," ",COUNTIF(원본!$G$2:$G$10000,$A35))</f>
        <v/>
      </c>
      <c r="H35" s="43">
        <f>IF(COUNTIF(원본!$H$2:$H$10000,$A35)=0," ",COUNTIF(원본!$H$2:$H$10000,$A35))</f>
        <v/>
      </c>
      <c r="J35" s="41" t="n">
        <v>34</v>
      </c>
      <c r="K35" s="42">
        <f>SUM(B35:G35)</f>
        <v/>
      </c>
      <c r="L35" s="27">
        <f>K35/SUM($K$2:$K$46)</f>
        <v/>
      </c>
      <c r="M35" s="43">
        <f>RANK(K35,$K$2:$K$46)</f>
        <v/>
      </c>
    </row>
    <row r="36" ht="16.5" customHeight="1" s="28">
      <c r="A36" s="40" t="n">
        <v>35</v>
      </c>
      <c r="B36" s="41">
        <f>IF(COUNTIF(원본!$B$2:$B$10000,$A36)=0," ",COUNTIF(원본!$B$2:$B$10000,$A36))</f>
        <v/>
      </c>
      <c r="C36" s="42">
        <f>IF(COUNTIF(원본!$C$2:$C$10000,$A36)=0," ",COUNTIF(원본!$C$2:$C$10000,$A36))</f>
        <v/>
      </c>
      <c r="D36" s="42">
        <f>IF(COUNTIF(원본!$D$2:$D$10000,$A36)=0," ",COUNTIF(원본!$D$2:$D$10000,$A36))</f>
        <v/>
      </c>
      <c r="E36" s="42">
        <f>IF(COUNTIF(원본!$E$2:$E$10000,$A36)=0," ",COUNTIF(원본!$E$2:$E$10000,$A36))</f>
        <v/>
      </c>
      <c r="F36" s="42">
        <f>IF(COUNTIF(원본!$F$2:$F$10000,$A36)=0," ",COUNTIF(원본!$F$2:$F$10000,$A36))</f>
        <v/>
      </c>
      <c r="G36" s="42">
        <f>IF(COUNTIF(원본!$G$2:$G$10000,$A36)=0," ",COUNTIF(원본!$G$2:$G$10000,$A36))</f>
        <v/>
      </c>
      <c r="H36" s="43">
        <f>IF(COUNTIF(원본!$H$2:$H$10000,$A36)=0," ",COUNTIF(원본!$H$2:$H$10000,$A36))</f>
        <v/>
      </c>
      <c r="J36" s="41" t="n">
        <v>35</v>
      </c>
      <c r="K36" s="42">
        <f>SUM(B36:G36)</f>
        <v/>
      </c>
      <c r="L36" s="27">
        <f>K36/SUM($K$2:$K$46)</f>
        <v/>
      </c>
      <c r="M36" s="43">
        <f>RANK(K36,$K$2:$K$46)</f>
        <v/>
      </c>
    </row>
    <row r="37" ht="16.5" customHeight="1" s="28">
      <c r="A37" s="40" t="n">
        <v>36</v>
      </c>
      <c r="B37" s="41">
        <f>IF(COUNTIF(원본!$B$2:$B$10000,$A37)=0," ",COUNTIF(원본!$B$2:$B$10000,$A37))</f>
        <v/>
      </c>
      <c r="C37" s="42">
        <f>IF(COUNTIF(원본!$C$2:$C$10000,$A37)=0," ",COUNTIF(원본!$C$2:$C$10000,$A37))</f>
        <v/>
      </c>
      <c r="D37" s="42">
        <f>IF(COUNTIF(원본!$D$2:$D$10000,$A37)=0," ",COUNTIF(원본!$D$2:$D$10000,$A37))</f>
        <v/>
      </c>
      <c r="E37" s="42">
        <f>IF(COUNTIF(원본!$E$2:$E$10000,$A37)=0," ",COUNTIF(원본!$E$2:$E$10000,$A37))</f>
        <v/>
      </c>
      <c r="F37" s="42">
        <f>IF(COUNTIF(원본!$F$2:$F$10000,$A37)=0," ",COUNTIF(원본!$F$2:$F$10000,$A37))</f>
        <v/>
      </c>
      <c r="G37" s="42">
        <f>IF(COUNTIF(원본!$G$2:$G$10000,$A37)=0," ",COUNTIF(원본!$G$2:$G$10000,$A37))</f>
        <v/>
      </c>
      <c r="H37" s="43">
        <f>IF(COUNTIF(원본!$H$2:$H$10000,$A37)=0," ",COUNTIF(원본!$H$2:$H$10000,$A37))</f>
        <v/>
      </c>
      <c r="J37" s="41" t="n">
        <v>36</v>
      </c>
      <c r="K37" s="42">
        <f>SUM(B37:G37)</f>
        <v/>
      </c>
      <c r="L37" s="27">
        <f>K37/SUM($K$2:$K$46)</f>
        <v/>
      </c>
      <c r="M37" s="43">
        <f>RANK(K37,$K$2:$K$46)</f>
        <v/>
      </c>
    </row>
    <row r="38" ht="16.5" customHeight="1" s="28">
      <c r="A38" s="40" t="n">
        <v>37</v>
      </c>
      <c r="B38" s="41">
        <f>IF(COUNTIF(원본!$B$2:$B$10000,$A38)=0," ",COUNTIF(원본!$B$2:$B$10000,$A38))</f>
        <v/>
      </c>
      <c r="C38" s="42">
        <f>IF(COUNTIF(원본!$C$2:$C$10000,$A38)=0," ",COUNTIF(원본!$C$2:$C$10000,$A38))</f>
        <v/>
      </c>
      <c r="D38" s="42">
        <f>IF(COUNTIF(원본!$D$2:$D$10000,$A38)=0," ",COUNTIF(원본!$D$2:$D$10000,$A38))</f>
        <v/>
      </c>
      <c r="E38" s="42">
        <f>IF(COUNTIF(원본!$E$2:$E$10000,$A38)=0," ",COUNTIF(원본!$E$2:$E$10000,$A38))</f>
        <v/>
      </c>
      <c r="F38" s="42">
        <f>IF(COUNTIF(원본!$F$2:$F$10000,$A38)=0," ",COUNTIF(원본!$F$2:$F$10000,$A38))</f>
        <v/>
      </c>
      <c r="G38" s="42">
        <f>IF(COUNTIF(원본!$G$2:$G$10000,$A38)=0," ",COUNTIF(원본!$G$2:$G$10000,$A38))</f>
        <v/>
      </c>
      <c r="H38" s="43">
        <f>IF(COUNTIF(원본!$H$2:$H$10000,$A38)=0," ",COUNTIF(원본!$H$2:$H$10000,$A38))</f>
        <v/>
      </c>
      <c r="J38" s="41" t="n">
        <v>37</v>
      </c>
      <c r="K38" s="42">
        <f>SUM(B38:G38)</f>
        <v/>
      </c>
      <c r="L38" s="27">
        <f>K38/SUM($K$2:$K$46)</f>
        <v/>
      </c>
      <c r="M38" s="43">
        <f>RANK(K38,$K$2:$K$46)</f>
        <v/>
      </c>
    </row>
    <row r="39" ht="16.5" customHeight="1" s="28">
      <c r="A39" s="40" t="n">
        <v>38</v>
      </c>
      <c r="B39" s="41">
        <f>IF(COUNTIF(원본!$B$2:$B$10000,$A39)=0," ",COUNTIF(원본!$B$2:$B$10000,$A39))</f>
        <v/>
      </c>
      <c r="C39" s="42">
        <f>IF(COUNTIF(원본!$C$2:$C$10000,$A39)=0," ",COUNTIF(원본!$C$2:$C$10000,$A39))</f>
        <v/>
      </c>
      <c r="D39" s="42">
        <f>IF(COUNTIF(원본!$D$2:$D$10000,$A39)=0," ",COUNTIF(원본!$D$2:$D$10000,$A39))</f>
        <v/>
      </c>
      <c r="E39" s="42">
        <f>IF(COUNTIF(원본!$E$2:$E$10000,$A39)=0," ",COUNTIF(원본!$E$2:$E$10000,$A39))</f>
        <v/>
      </c>
      <c r="F39" s="42">
        <f>IF(COUNTIF(원본!$F$2:$F$10000,$A39)=0," ",COUNTIF(원본!$F$2:$F$10000,$A39))</f>
        <v/>
      </c>
      <c r="G39" s="42">
        <f>IF(COUNTIF(원본!$G$2:$G$10000,$A39)=0," ",COUNTIF(원본!$G$2:$G$10000,$A39))</f>
        <v/>
      </c>
      <c r="H39" s="43">
        <f>IF(COUNTIF(원본!$H$2:$H$10000,$A39)=0," ",COUNTIF(원본!$H$2:$H$10000,$A39))</f>
        <v/>
      </c>
      <c r="J39" s="41" t="n">
        <v>38</v>
      </c>
      <c r="K39" s="42">
        <f>SUM(B39:G39)</f>
        <v/>
      </c>
      <c r="L39" s="27">
        <f>K39/SUM($K$2:$K$46)</f>
        <v/>
      </c>
      <c r="M39" s="43">
        <f>RANK(K39,$K$2:$K$46)</f>
        <v/>
      </c>
    </row>
    <row r="40" ht="16.5" customHeight="1" s="28">
      <c r="A40" s="40" t="n">
        <v>39</v>
      </c>
      <c r="B40" s="41">
        <f>IF(COUNTIF(원본!$B$2:$B$10000,$A40)=0," ",COUNTIF(원본!$B$2:$B$10000,$A40))</f>
        <v/>
      </c>
      <c r="C40" s="42">
        <f>IF(COUNTIF(원본!$C$2:$C$10000,$A40)=0," ",COUNTIF(원본!$C$2:$C$10000,$A40))</f>
        <v/>
      </c>
      <c r="D40" s="42">
        <f>IF(COUNTIF(원본!$D$2:$D$10000,$A40)=0," ",COUNTIF(원본!$D$2:$D$10000,$A40))</f>
        <v/>
      </c>
      <c r="E40" s="42">
        <f>IF(COUNTIF(원본!$E$2:$E$10000,$A40)=0," ",COUNTIF(원본!$E$2:$E$10000,$A40))</f>
        <v/>
      </c>
      <c r="F40" s="42">
        <f>IF(COUNTIF(원본!$F$2:$F$10000,$A40)=0," ",COUNTIF(원본!$F$2:$F$10000,$A40))</f>
        <v/>
      </c>
      <c r="G40" s="42">
        <f>IF(COUNTIF(원본!$G$2:$G$10000,$A40)=0," ",COUNTIF(원본!$G$2:$G$10000,$A40))</f>
        <v/>
      </c>
      <c r="H40" s="43">
        <f>IF(COUNTIF(원본!$H$2:$H$10000,$A40)=0," ",COUNTIF(원본!$H$2:$H$10000,$A40))</f>
        <v/>
      </c>
      <c r="J40" s="41" t="n">
        <v>39</v>
      </c>
      <c r="K40" s="42">
        <f>SUM(B40:G40)</f>
        <v/>
      </c>
      <c r="L40" s="27">
        <f>K40/SUM($K$2:$K$46)</f>
        <v/>
      </c>
      <c r="M40" s="43">
        <f>RANK(K40,$K$2:$K$46)</f>
        <v/>
      </c>
    </row>
    <row r="41" ht="16.5" customHeight="1" s="28">
      <c r="A41" s="40" t="n">
        <v>40</v>
      </c>
      <c r="B41" s="41">
        <f>IF(COUNTIF(원본!$B$2:$B$10000,$A41)=0," ",COUNTIF(원본!$B$2:$B$10000,$A41))</f>
        <v/>
      </c>
      <c r="C41" s="42">
        <f>IF(COUNTIF(원본!$C$2:$C$10000,$A41)=0," ",COUNTIF(원본!$C$2:$C$10000,$A41))</f>
        <v/>
      </c>
      <c r="D41" s="42">
        <f>IF(COUNTIF(원본!$D$2:$D$10000,$A41)=0," ",COUNTIF(원본!$D$2:$D$10000,$A41))</f>
        <v/>
      </c>
      <c r="E41" s="42">
        <f>IF(COUNTIF(원본!$E$2:$E$10000,$A41)=0," ",COUNTIF(원본!$E$2:$E$10000,$A41))</f>
        <v/>
      </c>
      <c r="F41" s="42">
        <f>IF(COUNTIF(원본!$F$2:$F$10000,$A41)=0," ",COUNTIF(원본!$F$2:$F$10000,$A41))</f>
        <v/>
      </c>
      <c r="G41" s="42">
        <f>IF(COUNTIF(원본!$G$2:$G$10000,$A41)=0," ",COUNTIF(원본!$G$2:$G$10000,$A41))</f>
        <v/>
      </c>
      <c r="H41" s="43">
        <f>IF(COUNTIF(원본!$H$2:$H$10000,$A41)=0," ",COUNTIF(원본!$H$2:$H$10000,$A41))</f>
        <v/>
      </c>
      <c r="J41" s="41" t="n">
        <v>40</v>
      </c>
      <c r="K41" s="42">
        <f>SUM(B41:G41)</f>
        <v/>
      </c>
      <c r="L41" s="27">
        <f>K41/SUM($K$2:$K$46)</f>
        <v/>
      </c>
      <c r="M41" s="43">
        <f>RANK(K41,$K$2:$K$46)</f>
        <v/>
      </c>
    </row>
    <row r="42" ht="16.5" customHeight="1" s="28">
      <c r="A42" s="40" t="n">
        <v>41</v>
      </c>
      <c r="B42" s="41">
        <f>IF(COUNTIF(원본!$B$2:$B$10000,$A42)=0," ",COUNTIF(원본!$B$2:$B$10000,$A42))</f>
        <v/>
      </c>
      <c r="C42" s="42">
        <f>IF(COUNTIF(원본!$C$2:$C$10000,$A42)=0," ",COUNTIF(원본!$C$2:$C$10000,$A42))</f>
        <v/>
      </c>
      <c r="D42" s="42">
        <f>IF(COUNTIF(원본!$D$2:$D$10000,$A42)=0," ",COUNTIF(원본!$D$2:$D$10000,$A42))</f>
        <v/>
      </c>
      <c r="E42" s="42">
        <f>IF(COUNTIF(원본!$E$2:$E$10000,$A42)=0," ",COUNTIF(원본!$E$2:$E$10000,$A42))</f>
        <v/>
      </c>
      <c r="F42" s="42">
        <f>IF(COUNTIF(원본!$F$2:$F$10000,$A42)=0," ",COUNTIF(원본!$F$2:$F$10000,$A42))</f>
        <v/>
      </c>
      <c r="G42" s="42">
        <f>IF(COUNTIF(원본!$G$2:$G$10000,$A42)=0," ",COUNTIF(원본!$G$2:$G$10000,$A42))</f>
        <v/>
      </c>
      <c r="H42" s="43">
        <f>IF(COUNTIF(원본!$H$2:$H$10000,$A42)=0," ",COUNTIF(원본!$H$2:$H$10000,$A42))</f>
        <v/>
      </c>
      <c r="J42" s="41" t="n">
        <v>41</v>
      </c>
      <c r="K42" s="42">
        <f>SUM(B42:G42)</f>
        <v/>
      </c>
      <c r="L42" s="27">
        <f>K42/SUM($K$2:$K$46)</f>
        <v/>
      </c>
      <c r="M42" s="43">
        <f>RANK(K42,$K$2:$K$46)</f>
        <v/>
      </c>
    </row>
    <row r="43" ht="16.5" customHeight="1" s="28">
      <c r="A43" s="40" t="n">
        <v>42</v>
      </c>
      <c r="B43" s="41">
        <f>IF(COUNTIF(원본!$B$2:$B$10000,$A43)=0," ",COUNTIF(원본!$B$2:$B$10000,$A43))</f>
        <v/>
      </c>
      <c r="C43" s="42">
        <f>IF(COUNTIF(원본!$C$2:$C$10000,$A43)=0," ",COUNTIF(원본!$C$2:$C$10000,$A43))</f>
        <v/>
      </c>
      <c r="D43" s="42">
        <f>IF(COUNTIF(원본!$D$2:$D$10000,$A43)=0," ",COUNTIF(원본!$D$2:$D$10000,$A43))</f>
        <v/>
      </c>
      <c r="E43" s="42">
        <f>IF(COUNTIF(원본!$E$2:$E$10000,$A43)=0," ",COUNTIF(원본!$E$2:$E$10000,$A43))</f>
        <v/>
      </c>
      <c r="F43" s="42">
        <f>IF(COUNTIF(원본!$F$2:$F$10000,$A43)=0," ",COUNTIF(원본!$F$2:$F$10000,$A43))</f>
        <v/>
      </c>
      <c r="G43" s="42">
        <f>IF(COUNTIF(원본!$G$2:$G$10000,$A43)=0," ",COUNTIF(원본!$G$2:$G$10000,$A43))</f>
        <v/>
      </c>
      <c r="H43" s="43">
        <f>IF(COUNTIF(원본!$H$2:$H$10000,$A43)=0," ",COUNTIF(원본!$H$2:$H$10000,$A43))</f>
        <v/>
      </c>
      <c r="J43" s="41" t="n">
        <v>42</v>
      </c>
      <c r="K43" s="42">
        <f>SUM(B43:G43)</f>
        <v/>
      </c>
      <c r="L43" s="27">
        <f>K43/SUM($K$2:$K$46)</f>
        <v/>
      </c>
      <c r="M43" s="43">
        <f>RANK(K43,$K$2:$K$46)</f>
        <v/>
      </c>
    </row>
    <row r="44" ht="16.5" customHeight="1" s="28">
      <c r="A44" s="40" t="n">
        <v>43</v>
      </c>
      <c r="B44" s="41">
        <f>IF(COUNTIF(원본!$B$2:$B$10000,$A44)=0," ",COUNTIF(원본!$B$2:$B$10000,$A44))</f>
        <v/>
      </c>
      <c r="C44" s="42">
        <f>IF(COUNTIF(원본!$C$2:$C$10000,$A44)=0," ",COUNTIF(원본!$C$2:$C$10000,$A44))</f>
        <v/>
      </c>
      <c r="D44" s="42">
        <f>IF(COUNTIF(원본!$D$2:$D$10000,$A44)=0," ",COUNTIF(원본!$D$2:$D$10000,$A44))</f>
        <v/>
      </c>
      <c r="E44" s="42">
        <f>IF(COUNTIF(원본!$E$2:$E$10000,$A44)=0," ",COUNTIF(원본!$E$2:$E$10000,$A44))</f>
        <v/>
      </c>
      <c r="F44" s="42">
        <f>IF(COUNTIF(원본!$F$2:$F$10000,$A44)=0," ",COUNTIF(원본!$F$2:$F$10000,$A44))</f>
        <v/>
      </c>
      <c r="G44" s="42">
        <f>IF(COUNTIF(원본!$G$2:$G$10000,$A44)=0," ",COUNTIF(원본!$G$2:$G$10000,$A44))</f>
        <v/>
      </c>
      <c r="H44" s="43">
        <f>IF(COUNTIF(원본!$H$2:$H$10000,$A44)=0," ",COUNTIF(원본!$H$2:$H$10000,$A44))</f>
        <v/>
      </c>
      <c r="J44" s="41" t="n">
        <v>43</v>
      </c>
      <c r="K44" s="42">
        <f>SUM(B44:G44)</f>
        <v/>
      </c>
      <c r="L44" s="27">
        <f>K44/SUM($K$2:$K$46)</f>
        <v/>
      </c>
      <c r="M44" s="43">
        <f>RANK(K44,$K$2:$K$46)</f>
        <v/>
      </c>
    </row>
    <row r="45" ht="16.5" customHeight="1" s="28">
      <c r="A45" s="40" t="n">
        <v>44</v>
      </c>
      <c r="B45" s="41">
        <f>IF(COUNTIF(원본!$B$2:$B$10000,$A45)=0," ",COUNTIF(원본!$B$2:$B$10000,$A45))</f>
        <v/>
      </c>
      <c r="C45" s="42">
        <f>IF(COUNTIF(원본!$C$2:$C$10000,$A45)=0," ",COUNTIF(원본!$C$2:$C$10000,$A45))</f>
        <v/>
      </c>
      <c r="D45" s="42">
        <f>IF(COUNTIF(원본!$D$2:$D$10000,$A45)=0," ",COUNTIF(원본!$D$2:$D$10000,$A45))</f>
        <v/>
      </c>
      <c r="E45" s="42">
        <f>IF(COUNTIF(원본!$E$2:$E$10000,$A45)=0," ",COUNTIF(원본!$E$2:$E$10000,$A45))</f>
        <v/>
      </c>
      <c r="F45" s="42">
        <f>IF(COUNTIF(원본!$F$2:$F$10000,$A45)=0," ",COUNTIF(원본!$F$2:$F$10000,$A45))</f>
        <v/>
      </c>
      <c r="G45" s="42">
        <f>IF(COUNTIF(원본!$G$2:$G$10000,$A45)=0," ",COUNTIF(원본!$G$2:$G$10000,$A45))</f>
        <v/>
      </c>
      <c r="H45" s="43">
        <f>IF(COUNTIF(원본!$H$2:$H$10000,$A45)=0," ",COUNTIF(원본!$H$2:$H$10000,$A45))</f>
        <v/>
      </c>
      <c r="J45" s="41" t="n">
        <v>44</v>
      </c>
      <c r="K45" s="42">
        <f>SUM(B45:G45)</f>
        <v/>
      </c>
      <c r="L45" s="27">
        <f>K45/SUM($K$2:$K$46)</f>
        <v/>
      </c>
      <c r="M45" s="43">
        <f>RANK(K45,$K$2:$K$46)</f>
        <v/>
      </c>
    </row>
    <row r="46" ht="17.25" customHeight="1" s="28">
      <c r="A46" s="44" t="n">
        <v>45</v>
      </c>
      <c r="B46" s="45">
        <f>IF(COUNTIF(원본!$B$2:$B$10000,$A46)=0," ",COUNTIF(원본!$B$2:$B$10000,$A46))</f>
        <v/>
      </c>
      <c r="C46" s="46">
        <f>IF(COUNTIF(원본!$C$2:$C$10000,$A46)=0," ",COUNTIF(원본!$C$2:$C$10000,$A46))</f>
        <v/>
      </c>
      <c r="D46" s="46">
        <f>IF(COUNTIF(원본!$D$2:$D$10000,$A46)=0," ",COUNTIF(원본!$D$2:$D$10000,$A46))</f>
        <v/>
      </c>
      <c r="E46" s="46">
        <f>IF(COUNTIF(원본!$E$2:$E$10000,$A46)=0," ",COUNTIF(원본!$E$2:$E$10000,$A46))</f>
        <v/>
      </c>
      <c r="F46" s="46">
        <f>IF(COUNTIF(원본!$F$2:$F$10000,$A46)=0," ",COUNTIF(원본!$F$2:$F$10000,$A46))</f>
        <v/>
      </c>
      <c r="G46" s="46">
        <f>IF(COUNTIF(원본!$G$2:$G$10000,$A46)=0," ",COUNTIF(원본!$G$2:$G$10000,$A46))</f>
        <v/>
      </c>
      <c r="H46" s="47">
        <f>IF(COUNTIF(원본!$H$2:$H$10000,$A46)=0," ",COUNTIF(원본!$H$2:$H$10000,$A46))</f>
        <v/>
      </c>
      <c r="J46" s="45" t="n">
        <v>45</v>
      </c>
      <c r="K46" s="46">
        <f>SUM(B46:G46)</f>
        <v/>
      </c>
      <c r="L46" s="27">
        <f>K46/SUM($K$2:$K$46)</f>
        <v/>
      </c>
      <c r="M46" s="47">
        <f>RANK(K46,$K$2:$K$46)</f>
        <v/>
      </c>
    </row>
    <row r="47" ht="17.25" customHeight="1" s="28">
      <c r="J47" s="48" t="inlineStr">
        <is>
          <t>계</t>
        </is>
      </c>
      <c r="K47" s="49">
        <f>SUM(K2:K46)</f>
        <v/>
      </c>
      <c r="L47" s="27">
        <f>K47/SUM($K$2:$K$46)</f>
        <v/>
      </c>
      <c r="M47" s="50" t="n"/>
    </row>
  </sheetData>
  <conditionalFormatting sqref="B2:H46">
    <cfRule type="top10" rank="1" priority="2" equalAverage="0" aboveAverage="0" dxfId="9" text="" percent="1" bottom="0"/>
  </conditionalFormatting>
  <conditionalFormatting sqref="B3:H3 B4:B46">
    <cfRule type="top10" rank="1" priority="3" equalAverage="0" aboveAverage="0" dxfId="9" text="" percent="1" bottom="0"/>
  </conditionalFormatting>
  <conditionalFormatting sqref="B4:H4">
    <cfRule type="top10" rank="1" priority="4" equalAverage="0" aboveAverage="0" dxfId="9" text="" percent="1" bottom="0"/>
  </conditionalFormatting>
  <conditionalFormatting sqref="B2:B46">
    <cfRule type="top10" rank="1" priority="5" equalAverage="0" aboveAverage="0" dxfId="9" text="" percent="1" bottom="0"/>
    <cfRule type="top10" rank="1" priority="6" equalAverage="0" aboveAverage="0" dxfId="10" text="" percent="1" bottom="1"/>
  </conditionalFormatting>
  <conditionalFormatting sqref="C2:C46">
    <cfRule type="top10" rank="1" priority="7" equalAverage="0" aboveAverage="0" dxfId="9" text="" percent="1" bottom="0"/>
    <cfRule type="top10" rank="1" priority="8" equalAverage="0" aboveAverage="0" dxfId="10" text="" percent="1" bottom="1"/>
  </conditionalFormatting>
  <conditionalFormatting sqref="D2:D46">
    <cfRule type="top10" rank="1" priority="9" equalAverage="0" aboveAverage="0" dxfId="9" text="" percent="1" bottom="0"/>
    <cfRule type="top10" rank="1" priority="10" equalAverage="0" aboveAverage="0" dxfId="10" text="" percent="1" bottom="1"/>
  </conditionalFormatting>
  <conditionalFormatting sqref="E2:E46">
    <cfRule type="top10" rank="1" priority="11" equalAverage="0" aboveAverage="0" dxfId="9" text="" percent="1" bottom="0"/>
    <cfRule type="top10" rank="1" priority="12" equalAverage="0" aboveAverage="0" dxfId="10" text="" percent="1" bottom="1"/>
  </conditionalFormatting>
  <conditionalFormatting sqref="F2:F46">
    <cfRule type="top10" rank="1" priority="13" equalAverage="0" aboveAverage="0" dxfId="9" text="" percent="1" bottom="0"/>
    <cfRule type="top10" rank="1" priority="14" equalAverage="0" aboveAverage="0" dxfId="10" text="" percent="1" bottom="1"/>
  </conditionalFormatting>
  <conditionalFormatting sqref="G2:G46">
    <cfRule type="top10" rank="1" priority="15" equalAverage="0" aboveAverage="0" dxfId="9" text="" percent="1" bottom="0"/>
    <cfRule type="top10" rank="1" priority="16" equalAverage="0" aboveAverage="0" dxfId="10" text="" percent="1" bottom="1"/>
  </conditionalFormatting>
  <conditionalFormatting sqref="H2:H46">
    <cfRule type="top10" rank="1" priority="17" equalAverage="0" aboveAverage="0" dxfId="9" text="" percent="1" bottom="0"/>
    <cfRule type="top10" rank="1" priority="18" equalAverage="0" aboveAverage="0" dxfId="10" text="" percent="1" bottom="1"/>
  </conditionalFormatting>
  <conditionalFormatting sqref="M2:M47">
    <cfRule type="top10" rank="10" priority="19" equalAverage="0" aboveAverage="0" dxfId="10" text="" percent="0" bottom="0"/>
    <cfRule type="top10" rank="20" priority="20" equalAverage="0" aboveAverage="0" dxfId="9" text="" percent="0" bottom="1"/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 nam gyu</dc:creator>
  <dc:language>ko-KR</dc:language>
  <dcterms:created xsi:type="dcterms:W3CDTF">2016-05-16T11:48:48Z</dcterms:created>
  <dcterms:modified xsi:type="dcterms:W3CDTF">2026-10-17T15:48:19Z</dcterms:modified>
  <cp:revision>11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